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leech\Documents\DATA_Labs\Capstone_1\"/>
    </mc:Choice>
  </mc:AlternateContent>
  <xr:revisionPtr revIDLastSave="0" documentId="13_ncr:1_{EBF0F425-A39E-46E4-8EDA-865D0BF03F18}" xr6:coauthVersionLast="47" xr6:coauthVersionMax="47" xr10:uidLastSave="{00000000-0000-0000-0000-000000000000}"/>
  <bookViews>
    <workbookView xWindow="-110" yWindow="-110" windowWidth="25820" windowHeight="15500" xr2:uid="{5487F7B6-664A-4C52-988B-A77C01D68399}"/>
  </bookViews>
  <sheets>
    <sheet name="Connecticut" sheetId="3" r:id="rId1"/>
    <sheet name="New_York" sheetId="4" r:id="rId2"/>
    <sheet name="Combined East" sheetId="5" r:id="rId3"/>
  </sheets>
  <definedNames>
    <definedName name="_xlcn.WorksheetConnection_Month_by_Month.xlsxMonth_by_Month" hidden="1">Month_by_Month[]</definedName>
    <definedName name="_xlcn.WorksheetConnection_Month_by_Month.xlsxMonth_by_Month_CT" hidden="1">Month_by_Month_CT[]</definedName>
    <definedName name="_xlcn.WorksheetConnection_Month_by_Month.xlsxMonth_by_Month_NY" hidden="1">Month_by_Month_NY[]</definedName>
    <definedName name="ExternalData_1" localSheetId="2" hidden="1">'Combined East'!$A$1:$B$49</definedName>
    <definedName name="ExternalData_1" localSheetId="0" hidden="1">Connecticut!$A$1:$B$49</definedName>
    <definedName name="ExternalData_1" localSheetId="1" hidden="1">New_York!$A$1:$B$49</definedName>
    <definedName name="Slicer_month__Month">#N/A</definedName>
    <definedName name="Slicer_month__Month1">#N/A</definedName>
    <definedName name="Slicer_Month__Month2">#N/A</definedName>
    <definedName name="Slicer_month__Year">#N/A</definedName>
    <definedName name="Slicer_month__Year1">#N/A</definedName>
    <definedName name="Slicer_Month__Year2">#N/A</definedName>
  </definedNames>
  <calcPr calcId="0"/>
  <pivotCaches>
    <pivotCache cacheId="44" r:id="rId4"/>
    <pivotCache cacheId="47" r:id="rId5"/>
    <pivotCache cacheId="50" r:id="rId6"/>
  </pivotCaches>
  <extLst>
    <ext xmlns:x14="http://schemas.microsoft.com/office/spreadsheetml/2009/9/main" uri="{876F7934-8845-4945-9796-88D515C7AA90}">
      <x14:pivotCaches>
        <pivotCache cacheId="3" r:id="rId7"/>
        <pivotCache cacheId="4" r:id="rId8"/>
        <pivotCache cacheId="5" r:id="rId9"/>
      </x14:pivotCaches>
    </ext>
    <ext xmlns:x14="http://schemas.microsoft.com/office/spreadsheetml/2009/9/main" uri="{BBE1A952-AA13-448e-AADC-164F8A28A991}">
      <x14:slicerCaches>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Month_by_Month_NY" name="Month_by_Month_NY" connection="WorksheetConnection_Month_by_Month.xlsx!Month_by_Month_NY"/>
          <x15:modelTable id="Month_by_Month_CT" name="Month_by_Month_CT" connection="WorksheetConnection_Month_by_Month.xlsx!Month_by_Month_CT"/>
          <x15:modelTable id="Month_by_Month" name="Month_by_Month" connection="WorksheetConnection_Month_by_Month.xlsx!Month_by_Month"/>
        </x15:modelTables>
        <x15:extLst>
          <ext xmlns:x16="http://schemas.microsoft.com/office/spreadsheetml/2014/11/main" uri="{9835A34E-60A6-4A7C-AAB8-D5F71C897F49}">
            <x16:modelTimeGroupings>
              <x16:modelTimeGrouping tableName="Month_by_Month_NY"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 tableName="Month_by_Month_CT"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 tableName="Month_by_Month"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A680F7-7AD5-4E06-8D14-7C05D517CC94}" keepAlive="1" name="Query - Month_by_Month" description="Connection to the 'Month_by_Month' query in the workbook." type="5" refreshedVersion="8" background="1" saveData="1">
    <dbPr connection="Provider=Microsoft.Mashup.OleDb.1;Data Source=$Workbook$;Location=Month_by_Month;Extended Properties=&quot;&quot;" command="SELECT * FROM [Month_by_Month]"/>
  </connection>
  <connection id="2" xr16:uid="{D6326844-131A-4C88-8872-D06EE0B561E7}" keepAlive="1" name="Query - Month_by_Month_CT" description="Connection to the 'Month_by_Month_CT' query in the workbook." type="5" refreshedVersion="8" background="1" saveData="1">
    <dbPr connection="Provider=Microsoft.Mashup.OleDb.1;Data Source=$Workbook$;Location=Month_by_Month_CT;Extended Properties=&quot;&quot;" command="SELECT * FROM [Month_by_Month_CT]"/>
  </connection>
  <connection id="3" xr16:uid="{3B1E727D-74D6-4DA9-B425-76FEA65CF33D}" keepAlive="1" name="Query - Month_by_Month_NY" description="Connection to the 'Month_by_Month_NY' query in the workbook." type="5" refreshedVersion="8" background="1" saveData="1">
    <dbPr connection="Provider=Microsoft.Mashup.OleDb.1;Data Source=$Workbook$;Location=Month_by_Month_NY;Extended Properties=&quot;&quot;" command="SELECT * FROM [Month_by_Month_NY]"/>
  </connection>
  <connection id="4" xr16:uid="{B7041EB2-3BB9-4306-B46F-685F0B3A4ED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289E204E-D024-4B92-9ED0-720E79DCD27A}" name="WorksheetConnection_Month_by_Month.xlsx!Month_by_Month" type="102" refreshedVersion="8" minRefreshableVersion="5">
    <extLst>
      <ext xmlns:x15="http://schemas.microsoft.com/office/spreadsheetml/2010/11/main" uri="{DE250136-89BD-433C-8126-D09CA5730AF9}">
        <x15:connection id="Month_by_Month" autoDelete="1">
          <x15:rangePr sourceName="_xlcn.WorksheetConnection_Month_by_Month.xlsxMonth_by_Month"/>
        </x15:connection>
      </ext>
    </extLst>
  </connection>
  <connection id="6" xr16:uid="{F387192C-890C-4F97-A04F-6E79A07F55D7}" name="WorksheetConnection_Month_by_Month.xlsx!Month_by_Month_CT" type="102" refreshedVersion="8" minRefreshableVersion="5">
    <extLst>
      <ext xmlns:x15="http://schemas.microsoft.com/office/spreadsheetml/2010/11/main" uri="{DE250136-89BD-433C-8126-D09CA5730AF9}">
        <x15:connection id="Month_by_Month_CT" autoDelete="1">
          <x15:rangePr sourceName="_xlcn.WorksheetConnection_Month_by_Month.xlsxMonth_by_Month_CT"/>
        </x15:connection>
      </ext>
    </extLst>
  </connection>
  <connection id="7" xr16:uid="{25FC972A-E66B-49C1-AAD4-A456A93E0036}" name="WorksheetConnection_Month_by_Month.xlsx!Month_by_Month_NY" type="102" refreshedVersion="8" minRefreshableVersion="5">
    <extLst>
      <ext xmlns:x15="http://schemas.microsoft.com/office/spreadsheetml/2010/11/main" uri="{DE250136-89BD-433C-8126-D09CA5730AF9}">
        <x15:connection id="Month_by_Month_NY" autoDelete="1">
          <x15:rangePr sourceName="_xlcn.WorksheetConnection_Month_by_Month.xlsxMonth_by_Month_NY"/>
        </x15:connection>
      </ext>
    </extLst>
  </connection>
</connections>
</file>

<file path=xl/sharedStrings.xml><?xml version="1.0" encoding="utf-8"?>
<sst xmlns="http://schemas.openxmlformats.org/spreadsheetml/2006/main" count="27" uniqueCount="12">
  <si>
    <t>month</t>
  </si>
  <si>
    <t>total_revenue</t>
  </si>
  <si>
    <t>Grand Total</t>
  </si>
  <si>
    <t>2022</t>
  </si>
  <si>
    <t>2023</t>
  </si>
  <si>
    <t>2024</t>
  </si>
  <si>
    <t>2025</t>
  </si>
  <si>
    <t>Sum of total_revenue</t>
  </si>
  <si>
    <t>Row Labels</t>
  </si>
  <si>
    <t>Month</t>
  </si>
  <si>
    <t>Total_Revenue</t>
  </si>
  <si>
    <t>Sum of Total_Revenue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</si>
</sst>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0" fillId="0" borderId="0" xfId="0" applyAlignment="1">
      <alignment horizontal="left"/>
    </xf>
    <xf numFmtId="0" fontId="0" fillId="33" borderId="0" xfId="0" applyFill="1"/>
    <xf numFmtId="0" fontId="17" fillId="33" borderId="0" xfId="0" applyFont="1" applyFill="1"/>
    <xf numFmtId="0" fontId="17" fillId="33" borderId="0" xfId="0" applyFont="1" applyFill="1" applyAlignment="1">
      <alignment horizontal="left"/>
    </xf>
    <xf numFmtId="0" fontId="0" fillId="0" borderId="0" xfId="0" applyNumberFormat="1"/>
    <xf numFmtId="0" fontId="17" fillId="33" borderId="0" xfId="0" applyNumberFormat="1"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9">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numFmt numFmtId="19" formatCode="m/d/yyyy"/>
    </dxf>
    <dxf>
      <fill>
        <patternFill patternType="solid">
          <fgColor indexed="64"/>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numFmt numFmtId="19" formatCode="m/d/yyyy"/>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numFmt numFmtId="19" formatCode="m/d/yyyy"/>
    </dxf>
    <dxf>
      <font>
        <strike val="0"/>
        <outline val="0"/>
        <shadow val="0"/>
        <u val="none"/>
        <vertAlign val="baseline"/>
        <sz val="11"/>
        <color theme="0"/>
        <name val="Aptos Narrow"/>
        <family val="2"/>
        <scheme val="minor"/>
      </font>
      <fill>
        <patternFill patternType="solid">
          <fgColor indexed="64"/>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pivotCacheDefinition" Target="pivotCache/pivotCacheDefinition4.xml"/><Relationship Id="rId12" Type="http://schemas.microsoft.com/office/2007/relationships/slicerCache" Target="slicerCaches/slicerCache3.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[Month_by_Month.xlsx]Connecticut!PivotTable3</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Connecticut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Connecticut!$E$2</c:f>
              <c:strCache>
                <c:ptCount val="1"/>
                <c:pt idx="0">
                  <c:v>Total</c:v>
                </c:pt>
              </c:strCache>
            </c:strRef>
          </c:tx>
          <c:spPr>
            <a:pattFill prst="ltUpDiag">
              <a:fgClr>
                <a:schemeClr val="accent6"/>
              </a:fgClr>
              <a:bgClr>
                <a:schemeClr val="lt1"/>
              </a:bgClr>
            </a:pattFill>
            <a:ln>
              <a:noFill/>
            </a:ln>
            <a:effectLst/>
          </c:spPr>
          <c:invertIfNegative val="0"/>
          <c:cat>
            <c:strRef>
              <c:f>Connecticut!$D$3:$D$7</c:f>
              <c:strCache>
                <c:ptCount val="4"/>
                <c:pt idx="0">
                  <c:v>2022</c:v>
                </c:pt>
                <c:pt idx="1">
                  <c:v>2023</c:v>
                </c:pt>
                <c:pt idx="2">
                  <c:v>2024</c:v>
                </c:pt>
                <c:pt idx="3">
                  <c:v>2025</c:v>
                </c:pt>
              </c:strCache>
            </c:strRef>
          </c:cat>
          <c:val>
            <c:numRef>
              <c:f>Connecticut!$E$3:$E$7</c:f>
              <c:numCache>
                <c:formatCode>General</c:formatCode>
                <c:ptCount val="4"/>
                <c:pt idx="0">
                  <c:v>399252.57</c:v>
                </c:pt>
                <c:pt idx="1">
                  <c:v>553024.43000000005</c:v>
                </c:pt>
                <c:pt idx="2">
                  <c:v>555941.61</c:v>
                </c:pt>
                <c:pt idx="3">
                  <c:v>884003.83</c:v>
                </c:pt>
              </c:numCache>
            </c:numRef>
          </c:val>
          <c:extLst>
            <c:ext xmlns:c16="http://schemas.microsoft.com/office/drawing/2014/chart" uri="{C3380CC4-5D6E-409C-BE32-E72D297353CC}">
              <c16:uniqueId val="{00000000-B2E3-44DC-A3FE-C9E0DEC72608}"/>
            </c:ext>
          </c:extLst>
        </c:ser>
        <c:dLbls>
          <c:showLegendKey val="0"/>
          <c:showVal val="0"/>
          <c:showCatName val="0"/>
          <c:showSerName val="0"/>
          <c:showPercent val="0"/>
          <c:showBubbleSize val="0"/>
        </c:dLbls>
        <c:gapWidth val="269"/>
        <c:overlap val="-20"/>
        <c:axId val="341459631"/>
        <c:axId val="341456655"/>
      </c:barChart>
      <c:catAx>
        <c:axId val="34145963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341456655"/>
        <c:crosses val="autoZero"/>
        <c:auto val="1"/>
        <c:lblAlgn val="ctr"/>
        <c:lblOffset val="100"/>
        <c:noMultiLvlLbl val="0"/>
      </c:catAx>
      <c:valAx>
        <c:axId val="341456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1459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[Month_by_Month.xlsx]Connecticut!PivotTable3</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Connecticut</a:t>
            </a:r>
            <a:r>
              <a:rPr lang="en-US" baseline="0"/>
              <a:t> </a:t>
            </a:r>
            <a:r>
              <a:rPr lang="en-US"/>
              <a:t>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9.7055555555555659E-2"/>
              <c:y val="-6.24653689122193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5944444444444448E-2"/>
              <c:y val="-4.857648002333041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80314960629921"/>
          <c:y val="0.25865522018081066"/>
          <c:w val="0.68629352580927383"/>
          <c:h val="0.53811424613589964"/>
        </c:manualLayout>
      </c:layout>
      <c:lineChart>
        <c:grouping val="standard"/>
        <c:varyColors val="0"/>
        <c:ser>
          <c:idx val="0"/>
          <c:order val="0"/>
          <c:tx>
            <c:strRef>
              <c:f>Connecticut!$E$2</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E106-46A1-B603-4DDB90CF3D93}"/>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E106-46A1-B603-4DDB90CF3D93}"/>
              </c:ext>
            </c:extLst>
          </c:dPt>
          <c:dLbls>
            <c:dLbl>
              <c:idx val="1"/>
              <c:layout>
                <c:manualLayout>
                  <c:x val="-8.5944444444444448E-2"/>
                  <c:y val="-4.857648002333041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106-46A1-B603-4DDB90CF3D93}"/>
                </c:ext>
              </c:extLst>
            </c:dLbl>
            <c:dLbl>
              <c:idx val="2"/>
              <c:layout>
                <c:manualLayout>
                  <c:x val="-9.7055555555555659E-2"/>
                  <c:y val="-6.24653689122193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106-46A1-B603-4DDB90CF3D9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Connecticut!$D$3:$D$7</c:f>
              <c:strCache>
                <c:ptCount val="4"/>
                <c:pt idx="0">
                  <c:v>2022</c:v>
                </c:pt>
                <c:pt idx="1">
                  <c:v>2023</c:v>
                </c:pt>
                <c:pt idx="2">
                  <c:v>2024</c:v>
                </c:pt>
                <c:pt idx="3">
                  <c:v>2025</c:v>
                </c:pt>
              </c:strCache>
            </c:strRef>
          </c:cat>
          <c:val>
            <c:numRef>
              <c:f>Connecticut!$E$3:$E$7</c:f>
              <c:numCache>
                <c:formatCode>General</c:formatCode>
                <c:ptCount val="4"/>
                <c:pt idx="0">
                  <c:v>399252.57</c:v>
                </c:pt>
                <c:pt idx="1">
                  <c:v>553024.43000000005</c:v>
                </c:pt>
                <c:pt idx="2">
                  <c:v>555941.61</c:v>
                </c:pt>
                <c:pt idx="3">
                  <c:v>884003.83</c:v>
                </c:pt>
              </c:numCache>
            </c:numRef>
          </c:val>
          <c:smooth val="0"/>
          <c:extLst>
            <c:ext xmlns:c16="http://schemas.microsoft.com/office/drawing/2014/chart" uri="{C3380CC4-5D6E-409C-BE32-E72D297353CC}">
              <c16:uniqueId val="{00000000-E106-46A1-B603-4DDB90CF3D93}"/>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93381599"/>
        <c:axId val="393375151"/>
      </c:lineChart>
      <c:catAx>
        <c:axId val="39338159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93375151"/>
        <c:crosses val="autoZero"/>
        <c:auto val="1"/>
        <c:lblAlgn val="ctr"/>
        <c:lblOffset val="100"/>
        <c:noMultiLvlLbl val="0"/>
      </c:catAx>
      <c:valAx>
        <c:axId val="393375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9338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[Month_by_Month.xlsx]New_York!PivotTable2</c:name>
    <c:fmtId val="1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New York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New_York!$E$13</c:f>
              <c:strCache>
                <c:ptCount val="1"/>
                <c:pt idx="0">
                  <c:v>Total</c:v>
                </c:pt>
              </c:strCache>
            </c:strRef>
          </c:tx>
          <c:spPr>
            <a:pattFill prst="ltUpDiag">
              <a:fgClr>
                <a:schemeClr val="accent6"/>
              </a:fgClr>
              <a:bgClr>
                <a:schemeClr val="lt1"/>
              </a:bgClr>
            </a:pattFill>
            <a:ln>
              <a:noFill/>
            </a:ln>
            <a:effectLst/>
          </c:spPr>
          <c:invertIfNegative val="0"/>
          <c:cat>
            <c:strRef>
              <c:f>New_York!$D$14:$D$18</c:f>
              <c:strCache>
                <c:ptCount val="4"/>
                <c:pt idx="0">
                  <c:v>2022</c:v>
                </c:pt>
                <c:pt idx="1">
                  <c:v>2023</c:v>
                </c:pt>
                <c:pt idx="2">
                  <c:v>2024</c:v>
                </c:pt>
                <c:pt idx="3">
                  <c:v>2025</c:v>
                </c:pt>
              </c:strCache>
            </c:strRef>
          </c:cat>
          <c:val>
            <c:numRef>
              <c:f>New_York!$E$14:$E$18</c:f>
              <c:numCache>
                <c:formatCode>General</c:formatCode>
                <c:ptCount val="4"/>
                <c:pt idx="0">
                  <c:v>687382.03</c:v>
                </c:pt>
                <c:pt idx="1">
                  <c:v>1044157.05</c:v>
                </c:pt>
                <c:pt idx="2">
                  <c:v>1046676.37</c:v>
                </c:pt>
                <c:pt idx="3">
                  <c:v>1552601.64</c:v>
                </c:pt>
              </c:numCache>
            </c:numRef>
          </c:val>
          <c:extLst>
            <c:ext xmlns:c16="http://schemas.microsoft.com/office/drawing/2014/chart" uri="{C3380CC4-5D6E-409C-BE32-E72D297353CC}">
              <c16:uniqueId val="{00000000-2048-4D45-BA5B-1E89C8414FD4}"/>
            </c:ext>
          </c:extLst>
        </c:ser>
        <c:dLbls>
          <c:showLegendKey val="0"/>
          <c:showVal val="0"/>
          <c:showCatName val="0"/>
          <c:showSerName val="0"/>
          <c:showPercent val="0"/>
          <c:showBubbleSize val="0"/>
        </c:dLbls>
        <c:gapWidth val="269"/>
        <c:overlap val="-20"/>
        <c:axId val="704351376"/>
        <c:axId val="704350416"/>
      </c:barChart>
      <c:catAx>
        <c:axId val="704351376"/>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704350416"/>
        <c:crosses val="autoZero"/>
        <c:auto val="1"/>
        <c:lblAlgn val="ctr"/>
        <c:lblOffset val="100"/>
        <c:noMultiLvlLbl val="0"/>
      </c:catAx>
      <c:valAx>
        <c:axId val="7043504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0435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[Month_by_Month.xlsx]New_York!PivotTable2</c:name>
    <c:fmtId val="3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new york</a:t>
            </a:r>
            <a:r>
              <a:rPr lang="en-US" baseline="0"/>
              <a:t> revenue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338888888888899"/>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9.2277777777777778E-2"/>
              <c:y val="-2.77777777777777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061111111111111"/>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261111111111111"/>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New_York!$E$13</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0"/>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5-884E-49AA-A0D1-127CDC4CBF58}"/>
              </c:ext>
            </c:extLst>
          </c:dPt>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4-884E-49AA-A0D1-127CDC4CBF58}"/>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884E-49AA-A0D1-127CDC4CBF58}"/>
              </c:ext>
            </c:extLst>
          </c:dPt>
          <c:dPt>
            <c:idx val="3"/>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884E-49AA-A0D1-127CDC4CBF58}"/>
              </c:ext>
            </c:extLst>
          </c:dPt>
          <c:dLbls>
            <c:dLbl>
              <c:idx val="0"/>
              <c:layout>
                <c:manualLayout>
                  <c:x val="-0.10261111111111111"/>
                  <c:y val="-4.62962962962962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4E-49AA-A0D1-127CDC4CBF58}"/>
                </c:ext>
              </c:extLst>
            </c:dLbl>
            <c:dLbl>
              <c:idx val="1"/>
              <c:layout>
                <c:manualLayout>
                  <c:x val="-0.10061111111111111"/>
                  <c:y val="-3.70370370370370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84E-49AA-A0D1-127CDC4CBF58}"/>
                </c:ext>
              </c:extLst>
            </c:dLbl>
            <c:dLbl>
              <c:idx val="2"/>
              <c:layout>
                <c:manualLayout>
                  <c:x val="-0.10338888888888899"/>
                  <c:y val="-6.48148148148148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84E-49AA-A0D1-127CDC4CBF58}"/>
                </c:ext>
              </c:extLst>
            </c:dLbl>
            <c:dLbl>
              <c:idx val="3"/>
              <c:layout>
                <c:manualLayout>
                  <c:x val="-9.2277777777777778E-2"/>
                  <c:y val="-2.77777777777777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4E-49AA-A0D1-127CDC4CBF5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New_York!$D$14:$D$18</c:f>
              <c:strCache>
                <c:ptCount val="4"/>
                <c:pt idx="0">
                  <c:v>2022</c:v>
                </c:pt>
                <c:pt idx="1">
                  <c:v>2023</c:v>
                </c:pt>
                <c:pt idx="2">
                  <c:v>2024</c:v>
                </c:pt>
                <c:pt idx="3">
                  <c:v>2025</c:v>
                </c:pt>
              </c:strCache>
            </c:strRef>
          </c:cat>
          <c:val>
            <c:numRef>
              <c:f>New_York!$E$14:$E$18</c:f>
              <c:numCache>
                <c:formatCode>General</c:formatCode>
                <c:ptCount val="4"/>
                <c:pt idx="0">
                  <c:v>687382.03</c:v>
                </c:pt>
                <c:pt idx="1">
                  <c:v>1044157.05</c:v>
                </c:pt>
                <c:pt idx="2">
                  <c:v>1046676.37</c:v>
                </c:pt>
                <c:pt idx="3">
                  <c:v>1552601.64</c:v>
                </c:pt>
              </c:numCache>
            </c:numRef>
          </c:val>
          <c:smooth val="0"/>
          <c:extLst>
            <c:ext xmlns:c16="http://schemas.microsoft.com/office/drawing/2014/chart" uri="{C3380CC4-5D6E-409C-BE32-E72D297353CC}">
              <c16:uniqueId val="{00000000-884E-49AA-A0D1-127CDC4CBF58}"/>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0348383"/>
        <c:axId val="90349343"/>
      </c:lineChart>
      <c:catAx>
        <c:axId val="90348383"/>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0349343"/>
        <c:crosses val="autoZero"/>
        <c:auto val="1"/>
        <c:lblAlgn val="ctr"/>
        <c:lblOffset val="100"/>
        <c:noMultiLvlLbl val="0"/>
      </c:catAx>
      <c:valAx>
        <c:axId val="90349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0348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[Month_by_Month.xlsx]Combined East!PivotTable4</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Combined</a:t>
            </a:r>
            <a:r>
              <a:rPr lang="en-US" baseline="0"/>
              <a:t> east</a:t>
            </a:r>
            <a:r>
              <a:rPr lang="en-US"/>
              <a: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'Combined East'!$E$3</c:f>
              <c:strCache>
                <c:ptCount val="1"/>
                <c:pt idx="0">
                  <c:v>Total</c:v>
                </c:pt>
              </c:strCache>
            </c:strRef>
          </c:tx>
          <c:spPr>
            <a:pattFill prst="ltUpDiag">
              <a:fgClr>
                <a:schemeClr val="accent6"/>
              </a:fgClr>
              <a:bgClr>
                <a:schemeClr val="lt1"/>
              </a:bgClr>
            </a:pattFill>
            <a:ln>
              <a:noFill/>
            </a:ln>
            <a:effectLst/>
          </c:spPr>
          <c:invertIfNegative val="0"/>
          <c:cat>
            <c:strRef>
              <c:f>'Combined East'!$D$4:$D$8</c:f>
              <c:strCache>
                <c:ptCount val="4"/>
                <c:pt idx="0">
                  <c:v>2022</c:v>
                </c:pt>
                <c:pt idx="1">
                  <c:v>2023</c:v>
                </c:pt>
                <c:pt idx="2">
                  <c:v>2024</c:v>
                </c:pt>
                <c:pt idx="3">
                  <c:v>2025</c:v>
                </c:pt>
              </c:strCache>
            </c:strRef>
          </c:cat>
          <c:val>
            <c:numRef>
              <c:f>'Combined East'!$E$4:$E$8</c:f>
              <c:numCache>
                <c:formatCode>General</c:formatCode>
                <c:ptCount val="4"/>
                <c:pt idx="0">
                  <c:v>1086634.6000000001</c:v>
                </c:pt>
                <c:pt idx="1">
                  <c:v>1597181.48</c:v>
                </c:pt>
                <c:pt idx="2">
                  <c:v>1602617.98</c:v>
                </c:pt>
                <c:pt idx="3">
                  <c:v>2436605.4700000002</c:v>
                </c:pt>
              </c:numCache>
            </c:numRef>
          </c:val>
          <c:extLst>
            <c:ext xmlns:c16="http://schemas.microsoft.com/office/drawing/2014/chart" uri="{C3380CC4-5D6E-409C-BE32-E72D297353CC}">
              <c16:uniqueId val="{00000000-F8EA-4D65-B578-73D60069936D}"/>
            </c:ext>
          </c:extLst>
        </c:ser>
        <c:dLbls>
          <c:showLegendKey val="0"/>
          <c:showVal val="0"/>
          <c:showCatName val="0"/>
          <c:showSerName val="0"/>
          <c:showPercent val="0"/>
          <c:showBubbleSize val="0"/>
        </c:dLbls>
        <c:gapWidth val="269"/>
        <c:overlap val="-20"/>
        <c:axId val="92239807"/>
        <c:axId val="92256671"/>
      </c:barChart>
      <c:catAx>
        <c:axId val="92239807"/>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92256671"/>
        <c:crosses val="autoZero"/>
        <c:auto val="1"/>
        <c:lblAlgn val="ctr"/>
        <c:lblOffset val="100"/>
        <c:noMultiLvlLbl val="0"/>
      </c:catAx>
      <c:valAx>
        <c:axId val="92256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2239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[Month_by_Month.xlsx]Combined East!PivotTable4</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combined east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7.7611111111111117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9499999999999996E-2"/>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61666666666667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3944444444444447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'Combined East'!$E$3</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0"/>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012B-4587-959B-9996804DB5A7}"/>
              </c:ext>
            </c:extLst>
          </c:dPt>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012B-4587-959B-9996804DB5A7}"/>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4-012B-4587-959B-9996804DB5A7}"/>
              </c:ext>
            </c:extLst>
          </c:dPt>
          <c:dPt>
            <c:idx val="3"/>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5-012B-4587-959B-9996804DB5A7}"/>
              </c:ext>
            </c:extLst>
          </c:dPt>
          <c:dLbls>
            <c:dLbl>
              <c:idx val="0"/>
              <c:layout>
                <c:manualLayout>
                  <c:x val="-7.7611111111111117E-2"/>
                  <c:y val="-6.48148148148148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12B-4587-959B-9996804DB5A7}"/>
                </c:ext>
              </c:extLst>
            </c:dLbl>
            <c:dLbl>
              <c:idx val="1"/>
              <c:layout>
                <c:manualLayout>
                  <c:x val="-8.9499999999999996E-2"/>
                  <c:y val="-4.16666666666666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2B-4587-959B-9996804DB5A7}"/>
                </c:ext>
              </c:extLst>
            </c:dLbl>
            <c:dLbl>
              <c:idx val="2"/>
              <c:layout>
                <c:manualLayout>
                  <c:x val="-0.10616666666666677"/>
                  <c:y val="-5.55555555555555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12B-4587-959B-9996804DB5A7}"/>
                </c:ext>
              </c:extLst>
            </c:dLbl>
            <c:dLbl>
              <c:idx val="3"/>
              <c:layout>
                <c:manualLayout>
                  <c:x val="-8.3944444444444447E-2"/>
                  <c:y val="-3.70370370370370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12B-4587-959B-9996804DB5A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'Combined East'!$D$4:$D$8</c:f>
              <c:strCache>
                <c:ptCount val="4"/>
                <c:pt idx="0">
                  <c:v>2022</c:v>
                </c:pt>
                <c:pt idx="1">
                  <c:v>2023</c:v>
                </c:pt>
                <c:pt idx="2">
                  <c:v>2024</c:v>
                </c:pt>
                <c:pt idx="3">
                  <c:v>2025</c:v>
                </c:pt>
              </c:strCache>
            </c:strRef>
          </c:cat>
          <c:val>
            <c:numRef>
              <c:f>'Combined East'!$E$4:$E$8</c:f>
              <c:numCache>
                <c:formatCode>General</c:formatCode>
                <c:ptCount val="4"/>
                <c:pt idx="0">
                  <c:v>1086634.6000000001</c:v>
                </c:pt>
                <c:pt idx="1">
                  <c:v>1597181.48</c:v>
                </c:pt>
                <c:pt idx="2">
                  <c:v>1602617.98</c:v>
                </c:pt>
                <c:pt idx="3">
                  <c:v>2436605.4700000002</c:v>
                </c:pt>
              </c:numCache>
            </c:numRef>
          </c:val>
          <c:smooth val="0"/>
          <c:extLst>
            <c:ext xmlns:c16="http://schemas.microsoft.com/office/drawing/2014/chart" uri="{C3380CC4-5D6E-409C-BE32-E72D297353CC}">
              <c16:uniqueId val="{00000000-012B-4587-959B-9996804DB5A7}"/>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41429871"/>
        <c:axId val="341446735"/>
      </c:lineChart>
      <c:catAx>
        <c:axId val="34142987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41446735"/>
        <c:crosses val="autoZero"/>
        <c:auto val="1"/>
        <c:lblAlgn val="ctr"/>
        <c:lblOffset val="100"/>
        <c:noMultiLvlLbl val="0"/>
      </c:catAx>
      <c:valAx>
        <c:axId val="3414467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142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514350</xdr:colOff>
      <xdr:row>9</xdr:row>
      <xdr:rowOff>95250</xdr:rowOff>
    </xdr:from>
    <xdr:to>
      <xdr:col>6</xdr:col>
      <xdr:colOff>1016000</xdr:colOff>
      <xdr:row>24</xdr:row>
      <xdr:rowOff>76200</xdr:rowOff>
    </xdr:to>
    <xdr:graphicFrame macro="">
      <xdr:nvGraphicFramePr>
        <xdr:cNvPr id="2" name="Chart 1">
          <a:extLst>
            <a:ext uri="{FF2B5EF4-FFF2-40B4-BE49-F238E27FC236}">
              <a16:creationId xmlns:a16="http://schemas.microsoft.com/office/drawing/2014/main" id="{65FB8356-16A1-5502-A075-20D11ECA45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514350</xdr:colOff>
      <xdr:row>24</xdr:row>
      <xdr:rowOff>171450</xdr:rowOff>
    </xdr:from>
    <xdr:to>
      <xdr:col>6</xdr:col>
      <xdr:colOff>1016000</xdr:colOff>
      <xdr:row>39</xdr:row>
      <xdr:rowOff>152400</xdr:rowOff>
    </xdr:to>
    <xdr:graphicFrame macro="">
      <xdr:nvGraphicFramePr>
        <xdr:cNvPr id="3" name="Chart 2">
          <a:extLst>
            <a:ext uri="{FF2B5EF4-FFF2-40B4-BE49-F238E27FC236}">
              <a16:creationId xmlns:a16="http://schemas.microsoft.com/office/drawing/2014/main" id="{11C4692A-9855-8C7F-DE8B-E31D03173D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19050</xdr:colOff>
      <xdr:row>9</xdr:row>
      <xdr:rowOff>82550</xdr:rowOff>
    </xdr:from>
    <xdr:to>
      <xdr:col>13</xdr:col>
      <xdr:colOff>0</xdr:colOff>
      <xdr:row>23</xdr:row>
      <xdr:rowOff>123822</xdr:rowOff>
    </xdr:to>
    <mc:AlternateContent xmlns:mc="http://schemas.openxmlformats.org/markup-compatibility/2006" xmlns:a14="http://schemas.microsoft.com/office/drawing/2010/main">
      <mc:Choice Requires="a14">
        <xdr:graphicFrame macro="">
          <xdr:nvGraphicFramePr>
            <xdr:cNvPr id="4" name="month (Year) 1">
              <a:extLst>
                <a:ext uri="{FF2B5EF4-FFF2-40B4-BE49-F238E27FC236}">
                  <a16:creationId xmlns:a16="http://schemas.microsoft.com/office/drawing/2014/main" id="{FEDDBA4E-58FD-4523-3588-FBFC10469DC6}"/>
                </a:ext>
              </a:extLst>
            </xdr:cNvPr>
            <xdr:cNvGraphicFramePr/>
          </xdr:nvGraphicFramePr>
          <xdr:xfrm>
            <a:off x="0" y="0"/>
            <a:ext cx="0" cy="0"/>
          </xdr:xfrm>
          <a:graphic>
            <a:graphicData uri="http://schemas.microsoft.com/office/drawing/2010/slicer">
              <sle:slicer xmlns:sle="http://schemas.microsoft.com/office/drawing/2010/slicer" name="month (Year) 1"/>
            </a:graphicData>
          </a:graphic>
        </xdr:graphicFrame>
      </mc:Choice>
      <mc:Fallback xmlns="">
        <xdr:sp macro="" textlink="">
          <xdr:nvSpPr>
            <xdr:cNvPr id="0" name=""/>
            <xdr:cNvSpPr>
              <a:spLocks noTextEdit="1"/>
            </xdr:cNvSpPr>
          </xdr:nvSpPr>
          <xdr:spPr>
            <a:xfrm>
              <a:off x="8674100" y="17399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9</xdr:row>
      <xdr:rowOff>88900</xdr:rowOff>
    </xdr:from>
    <xdr:to>
      <xdr:col>9</xdr:col>
      <xdr:colOff>596900</xdr:colOff>
      <xdr:row>23</xdr:row>
      <xdr:rowOff>130172</xdr:rowOff>
    </xdr:to>
    <mc:AlternateContent xmlns:mc="http://schemas.openxmlformats.org/markup-compatibility/2006" xmlns:a14="http://schemas.microsoft.com/office/drawing/2010/main">
      <mc:Choice Requires="a14">
        <xdr:graphicFrame macro="">
          <xdr:nvGraphicFramePr>
            <xdr:cNvPr id="5" name="month (Month)">
              <a:extLst>
                <a:ext uri="{FF2B5EF4-FFF2-40B4-BE49-F238E27FC236}">
                  <a16:creationId xmlns:a16="http://schemas.microsoft.com/office/drawing/2014/main" id="{38D7AC76-2CC7-12AF-1ABF-CBEE06C1FF3E}"/>
                </a:ext>
              </a:extLst>
            </xdr:cNvPr>
            <xdr:cNvGraphicFramePr/>
          </xdr:nvGraphicFramePr>
          <xdr:xfrm>
            <a:off x="0" y="0"/>
            <a:ext cx="0" cy="0"/>
          </xdr:xfrm>
          <a:graphic>
            <a:graphicData uri="http://schemas.microsoft.com/office/drawing/2010/slicer">
              <sle:slicer xmlns:sle="http://schemas.microsoft.com/office/drawing/2010/slicer" name="month (Month)"/>
            </a:graphicData>
          </a:graphic>
        </xdr:graphicFrame>
      </mc:Choice>
      <mc:Fallback xmlns="">
        <xdr:sp macro="" textlink="">
          <xdr:nvSpPr>
            <xdr:cNvPr id="0" name=""/>
            <xdr:cNvSpPr>
              <a:spLocks noTextEdit="1"/>
            </xdr:cNvSpPr>
          </xdr:nvSpPr>
          <xdr:spPr>
            <a:xfrm>
              <a:off x="6807200" y="17462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234950</xdr:colOff>
      <xdr:row>19</xdr:row>
      <xdr:rowOff>133350</xdr:rowOff>
    </xdr:from>
    <xdr:to>
      <xdr:col>8</xdr:col>
      <xdr:colOff>203200</xdr:colOff>
      <xdr:row>34</xdr:row>
      <xdr:rowOff>114300</xdr:rowOff>
    </xdr:to>
    <xdr:graphicFrame macro="">
      <xdr:nvGraphicFramePr>
        <xdr:cNvPr id="2" name="Chart 1">
          <a:extLst>
            <a:ext uri="{FF2B5EF4-FFF2-40B4-BE49-F238E27FC236}">
              <a16:creationId xmlns:a16="http://schemas.microsoft.com/office/drawing/2014/main" id="{0ED5BA27-4E47-28FF-E5B6-F01730A34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215900</xdr:colOff>
      <xdr:row>35</xdr:row>
      <xdr:rowOff>63500</xdr:rowOff>
    </xdr:from>
    <xdr:to>
      <xdr:col>8</xdr:col>
      <xdr:colOff>184150</xdr:colOff>
      <xdr:row>50</xdr:row>
      <xdr:rowOff>44450</xdr:rowOff>
    </xdr:to>
    <xdr:graphicFrame macro="">
      <xdr:nvGraphicFramePr>
        <xdr:cNvPr id="3" name="Chart 2">
          <a:extLst>
            <a:ext uri="{FF2B5EF4-FFF2-40B4-BE49-F238E27FC236}">
              <a16:creationId xmlns:a16="http://schemas.microsoft.com/office/drawing/2014/main" id="{579885BE-EB03-C4A3-5C35-F99D40960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336550</xdr:colOff>
      <xdr:row>19</xdr:row>
      <xdr:rowOff>120650</xdr:rowOff>
    </xdr:from>
    <xdr:to>
      <xdr:col>11</xdr:col>
      <xdr:colOff>336550</xdr:colOff>
      <xdr:row>33</xdr:row>
      <xdr:rowOff>161922</xdr:rowOff>
    </xdr:to>
    <mc:AlternateContent xmlns:mc="http://schemas.openxmlformats.org/markup-compatibility/2006" xmlns:a14="http://schemas.microsoft.com/office/drawing/2010/main">
      <mc:Choice Requires="a14">
        <xdr:graphicFrame macro="">
          <xdr:nvGraphicFramePr>
            <xdr:cNvPr id="7" name="month (Month) 1">
              <a:extLst>
                <a:ext uri="{FF2B5EF4-FFF2-40B4-BE49-F238E27FC236}">
                  <a16:creationId xmlns:a16="http://schemas.microsoft.com/office/drawing/2014/main" id="{26ED1408-F7A6-3EDA-1669-2B3A304BE2B9}"/>
                </a:ext>
              </a:extLst>
            </xdr:cNvPr>
            <xdr:cNvGraphicFramePr/>
          </xdr:nvGraphicFramePr>
          <xdr:xfrm>
            <a:off x="0" y="0"/>
            <a:ext cx="0" cy="0"/>
          </xdr:xfrm>
          <a:graphic>
            <a:graphicData uri="http://schemas.microsoft.com/office/drawing/2010/slicer">
              <sle:slicer xmlns:sle="http://schemas.microsoft.com/office/drawing/2010/slicer" name="month (Month) 1"/>
            </a:graphicData>
          </a:graphic>
        </xdr:graphicFrame>
      </mc:Choice>
      <mc:Fallback xmlns="">
        <xdr:sp macro="" textlink="">
          <xdr:nvSpPr>
            <xdr:cNvPr id="0" name=""/>
            <xdr:cNvSpPr>
              <a:spLocks noTextEdit="1"/>
            </xdr:cNvSpPr>
          </xdr:nvSpPr>
          <xdr:spPr>
            <a:xfrm>
              <a:off x="6584950" y="3619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469900</xdr:colOff>
      <xdr:row>19</xdr:row>
      <xdr:rowOff>114300</xdr:rowOff>
    </xdr:from>
    <xdr:to>
      <xdr:col>14</xdr:col>
      <xdr:colOff>469900</xdr:colOff>
      <xdr:row>33</xdr:row>
      <xdr:rowOff>155572</xdr:rowOff>
    </xdr:to>
    <mc:AlternateContent xmlns:mc="http://schemas.openxmlformats.org/markup-compatibility/2006" xmlns:a14="http://schemas.microsoft.com/office/drawing/2010/main">
      <mc:Choice Requires="a14">
        <xdr:graphicFrame macro="">
          <xdr:nvGraphicFramePr>
            <xdr:cNvPr id="8" name="month (Year)">
              <a:extLst>
                <a:ext uri="{FF2B5EF4-FFF2-40B4-BE49-F238E27FC236}">
                  <a16:creationId xmlns:a16="http://schemas.microsoft.com/office/drawing/2014/main" id="{4F3A8279-9F91-FFB5-19C5-E319C2ECEFF8}"/>
                </a:ext>
              </a:extLst>
            </xdr:cNvPr>
            <xdr:cNvGraphicFramePr/>
          </xdr:nvGraphicFramePr>
          <xdr:xfrm>
            <a:off x="0" y="0"/>
            <a:ext cx="0" cy="0"/>
          </xdr:xfrm>
          <a:graphic>
            <a:graphicData uri="http://schemas.microsoft.com/office/drawing/2010/slicer">
              <sle:slicer xmlns:sle="http://schemas.microsoft.com/office/drawing/2010/slicer" name="month (Year)"/>
            </a:graphicData>
          </a:graphic>
        </xdr:graphicFrame>
      </mc:Choice>
      <mc:Fallback xmlns="">
        <xdr:sp macro="" textlink="">
          <xdr:nvSpPr>
            <xdr:cNvPr id="0" name=""/>
            <xdr:cNvSpPr>
              <a:spLocks noTextEdit="1"/>
            </xdr:cNvSpPr>
          </xdr:nvSpPr>
          <xdr:spPr>
            <a:xfrm>
              <a:off x="8547100" y="36131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603250</xdr:colOff>
      <xdr:row>9</xdr:row>
      <xdr:rowOff>127000</xdr:rowOff>
    </xdr:from>
    <xdr:to>
      <xdr:col>8</xdr:col>
      <xdr:colOff>514350</xdr:colOff>
      <xdr:row>24</xdr:row>
      <xdr:rowOff>107950</xdr:rowOff>
    </xdr:to>
    <xdr:graphicFrame macro="">
      <xdr:nvGraphicFramePr>
        <xdr:cNvPr id="2" name="Chart 1">
          <a:extLst>
            <a:ext uri="{FF2B5EF4-FFF2-40B4-BE49-F238E27FC236}">
              <a16:creationId xmlns:a16="http://schemas.microsoft.com/office/drawing/2014/main" id="{2EF3EF90-A2FC-BF73-E0A8-1E1F71501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25</xdr:row>
      <xdr:rowOff>19050</xdr:rowOff>
    </xdr:from>
    <xdr:to>
      <xdr:col>8</xdr:col>
      <xdr:colOff>520700</xdr:colOff>
      <xdr:row>40</xdr:row>
      <xdr:rowOff>0</xdr:rowOff>
    </xdr:to>
    <xdr:graphicFrame macro="">
      <xdr:nvGraphicFramePr>
        <xdr:cNvPr id="3" name="Chart 2">
          <a:extLst>
            <a:ext uri="{FF2B5EF4-FFF2-40B4-BE49-F238E27FC236}">
              <a16:creationId xmlns:a16="http://schemas.microsoft.com/office/drawing/2014/main" id="{0DFC4583-C4B7-D195-6413-DF18D5FC99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577850</xdr:colOff>
      <xdr:row>9</xdr:row>
      <xdr:rowOff>114300</xdr:rowOff>
    </xdr:from>
    <xdr:to>
      <xdr:col>11</xdr:col>
      <xdr:colOff>577850</xdr:colOff>
      <xdr:row>23</xdr:row>
      <xdr:rowOff>155572</xdr:rowOff>
    </xdr:to>
    <mc:AlternateContent xmlns:mc="http://schemas.openxmlformats.org/markup-compatibility/2006" xmlns:a14="http://schemas.microsoft.com/office/drawing/2010/main">
      <mc:Choice Requires="a14">
        <xdr:graphicFrame macro="">
          <xdr:nvGraphicFramePr>
            <xdr:cNvPr id="6" name="Month (Month) 2">
              <a:extLst>
                <a:ext uri="{FF2B5EF4-FFF2-40B4-BE49-F238E27FC236}">
                  <a16:creationId xmlns:a16="http://schemas.microsoft.com/office/drawing/2014/main" id="{95560E54-D7F2-A3B1-97BA-AED9A8AC72A7}"/>
                </a:ext>
              </a:extLst>
            </xdr:cNvPr>
            <xdr:cNvGraphicFramePr/>
          </xdr:nvGraphicFramePr>
          <xdr:xfrm>
            <a:off x="0" y="0"/>
            <a:ext cx="0" cy="0"/>
          </xdr:xfrm>
          <a:graphic>
            <a:graphicData uri="http://schemas.microsoft.com/office/drawing/2010/slicer">
              <sle:slicer xmlns:sle="http://schemas.microsoft.com/office/drawing/2010/slicer" name="Month (Month) 2"/>
            </a:graphicData>
          </a:graphic>
        </xdr:graphicFrame>
      </mc:Choice>
      <mc:Fallback xmlns="">
        <xdr:sp macro="" textlink="">
          <xdr:nvSpPr>
            <xdr:cNvPr id="0" name=""/>
            <xdr:cNvSpPr>
              <a:spLocks noTextEdit="1"/>
            </xdr:cNvSpPr>
          </xdr:nvSpPr>
          <xdr:spPr>
            <a:xfrm>
              <a:off x="6883400" y="17716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69850</xdr:colOff>
      <xdr:row>9</xdr:row>
      <xdr:rowOff>107950</xdr:rowOff>
    </xdr:from>
    <xdr:to>
      <xdr:col>15</xdr:col>
      <xdr:colOff>69850</xdr:colOff>
      <xdr:row>23</xdr:row>
      <xdr:rowOff>149222</xdr:rowOff>
    </xdr:to>
    <mc:AlternateContent xmlns:mc="http://schemas.openxmlformats.org/markup-compatibility/2006" xmlns:a14="http://schemas.microsoft.com/office/drawing/2010/main">
      <mc:Choice Requires="a14">
        <xdr:graphicFrame macro="">
          <xdr:nvGraphicFramePr>
            <xdr:cNvPr id="7" name="Month (Year) 2">
              <a:extLst>
                <a:ext uri="{FF2B5EF4-FFF2-40B4-BE49-F238E27FC236}">
                  <a16:creationId xmlns:a16="http://schemas.microsoft.com/office/drawing/2014/main" id="{8FA41F14-125B-8041-31D7-37AC83E927C5}"/>
                </a:ext>
              </a:extLst>
            </xdr:cNvPr>
            <xdr:cNvGraphicFramePr/>
          </xdr:nvGraphicFramePr>
          <xdr:xfrm>
            <a:off x="0" y="0"/>
            <a:ext cx="0" cy="0"/>
          </xdr:xfrm>
          <a:graphic>
            <a:graphicData uri="http://schemas.microsoft.com/office/drawing/2010/slicer">
              <sle:slicer xmlns:sle="http://schemas.microsoft.com/office/drawing/2010/slicer" name="Month (Year) 2"/>
            </a:graphicData>
          </a:graphic>
        </xdr:graphicFrame>
      </mc:Choice>
      <mc:Fallback xmlns="">
        <xdr:sp macro="" textlink="">
          <xdr:nvSpPr>
            <xdr:cNvPr id="0" name=""/>
            <xdr:cNvSpPr>
              <a:spLocks noTextEdit="1"/>
            </xdr:cNvSpPr>
          </xdr:nvSpPr>
          <xdr:spPr>
            <a:xfrm>
              <a:off x="8813800" y="1765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31622569445" backgroundQuery="1" createdVersion="8" refreshedVersion="8" minRefreshableVersion="3" recordCount="0" supportSubquery="1" supportAdvancedDrill="1" xr:uid="{3728C892-97BF-4BD3-8C3A-33A379001046}">
  <cacheSource type="external" connectionId="4"/>
  <cacheFields count="5">
    <cacheField name="[Month_by_Month_NY].[month].[month]" caption="month" numFmtId="0" hierarchy="10" level="1">
      <sharedItems containsSemiMixedTypes="0" containsNonDate="0" containsDate="1" containsString="0" minDate="2022-01-01T00:00:00" maxDate="2022-01-02T00:00:00" count="1">
        <d v="2022-01-01T00:00:00"/>
      </sharedItems>
    </cacheField>
    <cacheField name="[Month_by_Month_NY].[month (Month)].[month (Month)]" caption="month (Month)" numFmtId="0" hierarchy="14" level="1">
      <sharedItems count="3">
        <s v="Jan"/>
        <s v="Feb"/>
        <s v="Mar"/>
      </sharedItems>
    </cacheField>
    <cacheField name="[Month_by_Month_NY].[month (Quarter)].[month (Quarter)]" caption="month (Quarter)" numFmtId="0" hierarchy="13" level="1">
      <sharedItems count="4">
        <s v="Qtr1"/>
        <s v="Qtr2"/>
        <s v="Qtr3"/>
        <s v="Qtr4"/>
      </sharedItems>
    </cacheField>
    <cacheField name="[Month_by_Month_NY].[month (Year)].[month (Year)]" caption="month (Year)" numFmtId="0" hierarchy="12" level="1">
      <sharedItems count="4">
        <s v="2022"/>
        <s v="2023"/>
        <s v="2024"/>
        <s v="2025"/>
      </sharedItems>
    </cacheField>
    <cacheField name="[Measures].[Sum of total_revenue 2]" caption="Sum of total_revenue 2" numFmtId="0" hierarchy="22" level="32767"/>
  </cacheFields>
  <cacheHierarchies count="25">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fieldsUsage count="2">
        <fieldUsage x="-1"/>
        <fieldUsage x="0"/>
      </fieldsUsage>
    </cacheHierarchy>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fieldsUsage count="2">
        <fieldUsage x="-1"/>
        <fieldUsage x="3"/>
      </fieldsUsage>
    </cacheHierarchy>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fieldsUsage count="2">
        <fieldUsage x="-1"/>
        <fieldUsage x="2"/>
      </fieldsUsage>
    </cacheHierarchy>
    <cacheHierarchy uniqueName="[Month_by_Month_NY].[month (Month)]" caption="month (Month)" attribute="1" defaultMemberUniqueName="[Month_by_Month_NY].[month (Month)].[All]" allUniqueName="[Month_by_Month_NY].[month (Month)].[All]" dimensionUniqueName="[Month_by_Month_NY]" displayFolder="" count="2" memberValueDatatype="130" unbalanced="0">
      <fieldsUsage count="2">
        <fieldUsage x="-1"/>
        <fieldUsage x="1"/>
      </fieldsUsage>
    </cacheHierarchy>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6"/>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1"/>
        </ext>
      </extLst>
    </cacheHierarchy>
  </cacheHierarchies>
  <kpis count="0"/>
  <dimensions count="4">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3">
    <measureGroup name="Month_by_Month" caption="Month_by_Month"/>
    <measureGroup name="Month_by_Month_CT" caption="Month_by_Month_CT"/>
    <measureGroup name="Month_by_Month_NY" caption="Month_by_Month_NY"/>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31663425926" backgroundQuery="1" createdVersion="8" refreshedVersion="8" minRefreshableVersion="3" recordCount="0" supportSubquery="1" supportAdvancedDrill="1" xr:uid="{9E281A56-8DD1-4B0E-A308-F91AD1A8ADED}">
  <cacheSource type="external" connectionId="4"/>
  <cacheFields count="5">
    <cacheField name="[Measures].[Sum of Total_Revenue 3]" caption="Sum of Total_Revenue 3" numFmtId="0" hierarchy="24" level="32767"/>
    <cacheField name="[Month_by_Month].[Month].[Month]" caption="Month" numFmtId="0" level="1">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cacheField>
    <cacheField name="[Month_by_Month].[Month (Month)].[Month (Month)]" caption="Month (Month)" numFmtId="0" hierarchy="4" level="1">
      <sharedItems count="12">
        <s v="Jan"/>
        <s v="Feb"/>
        <s v="Mar"/>
        <s v="Apr"/>
        <s v="May"/>
        <s v="Jun"/>
        <s v="Jul"/>
        <s v="Aug"/>
        <s v="Sep"/>
        <s v="Oct"/>
        <s v="Nov"/>
        <s v="Dec"/>
      </sharedItems>
    </cacheField>
    <cacheField name="[Month_by_Month].[Month (Quarter)].[Month (Quarter)]" caption="Month (Quarter)" numFmtId="0" hierarchy="3" level="1">
      <sharedItems count="4">
        <s v="Qtr1"/>
        <s v="Qtr2"/>
        <s v="Qtr3"/>
        <s v="Qtr4"/>
      </sharedItems>
    </cacheField>
    <cacheField name="[Month_by_Month].[Month (Year)].[Month (Year)]" caption="Month (Year)" numFmtId="0" hierarchy="2" level="1">
      <sharedItems count="4">
        <s v="2022"/>
        <s v="2023"/>
        <s v="2024"/>
        <s v="2025"/>
      </sharedItems>
    </cacheField>
  </cacheFields>
  <cacheHierarchies count="25">
    <cacheHierarchy uniqueName="[Month_by_Month].[Month]" caption="Month" attribute="1" time="1" defaultMemberUniqueName="[Month_by_Month].[Month].[All]" allUniqueName="[Month_by_Month].[Month].[All]" dimensionUniqueName="[Month_by_Month]" displayFolder="" count="2" memberValueDatatype="7" unbalanced="0">
      <fieldsUsage count="2">
        <fieldUsage x="-1"/>
        <fieldUsage x="1"/>
      </fieldsUsage>
    </cacheHierarchy>
    <cacheHierarchy uniqueName="[Month_by_Month].[Total_Revenue]" caption="Total_Revenue" attribute="1" defaultMemberUniqueName="[Month_by_Month].[Total_Revenue].[All]" allUniqueName="[Month_by_Month].[Total_Revenue].[All]" dimensionUniqueName="[Month_by_Month]" displayFolder="" count="2"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fieldsUsage count="2">
        <fieldUsage x="-1"/>
        <fieldUsage x="4"/>
      </fieldsUsage>
    </cacheHierarchy>
    <cacheHierarchy uniqueName="[Month_by_Month].[Month (Quarter)]" caption="Month (Quarter)" attribute="1" defaultMemberUniqueName="[Month_by_Month].[Month (Quarter)].[All]" allUniqueName="[Month_by_Month].[Month (Quarter)].[All]" dimensionUniqueName="[Month_by_Month]" displayFolder="" count="2" memberValueDatatype="130" unbalanced="0">
      <fieldsUsage count="2">
        <fieldUsage x="-1"/>
        <fieldUsage x="3"/>
      </fieldsUsage>
    </cacheHierarchy>
    <cacheHierarchy uniqueName="[Month_by_Month].[Month (Month)]" caption="Month (Month)" attribute="1" defaultMemberUniqueName="[Month_by_Month].[Month (Month)].[All]" allUniqueName="[Month_by_Month].[Month (Month)].[All]" dimensionUniqueName="[Month_by_Month]" displayFolder="" count="2" memberValueDatatype="130" unbalanced="0">
      <fieldsUsage count="2">
        <fieldUsage x="-1"/>
        <fieldUsage x="2"/>
      </fieldsUsage>
    </cacheHierarchy>
    <cacheHierarchy uniqueName="[Month_by_Month_CT].[month]" caption="month" attribute="1" time="1" defaultMemberUniqueName="[Month_by_Month_CT].[month].[All]" allUniqueName="[Month_by_Month_CT].[month].[All]" dimensionUniqueName="[Month_by_Month_CT]" displayFolder="" count="2"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2"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cacheHierarchy uniqueName="[Month_by_Month_CT].[month (Month)]" caption="month (Month)" attribute="1" defaultMemberUniqueName="[Month_by_Month_CT].[month (Month)].[All]" allUniqueName="[Month_by_Month_CT].[month (Month)].[All]" dimensionUniqueName="[Month_by_Month_CT]" displayFolder="" count="2"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2"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cacheHierarchy uniqueName="[Month_by_Month_NY].[month (Month)]" caption="month (Month)" attribute="1" defaultMemberUniqueName="[Month_by_Month_NY].[month (Month)].[All]" allUniqueName="[Month_by_Month_NY].[month (Month)].[All]" dimensionUniqueName="[Month_by_Month_NY]" displayFolder="" count="2"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2"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2"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2"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1"/>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6"/>
        </ext>
      </extLst>
    </cacheHierarchy>
    <cacheHierarchy uniqueName="[Measures].[Sum of Total_Revenue 3]" caption="Sum of Total_Revenue 3" measure="1" displayFolder="" measureGroup="Month_by_Month" count="0" oneField="1" hidden="1">
      <fieldsUsage count="1">
        <fieldUsage x="0"/>
      </fieldsUsage>
      <extLst>
        <ext xmlns:x15="http://schemas.microsoft.com/office/spreadsheetml/2010/11/main" uri="{B97F6D7D-B522-45F9-BDA1-12C45D357490}">
          <x15:cacheHierarchy aggregatedColumn="1"/>
        </ext>
      </extLst>
    </cacheHierarchy>
  </cacheHierarchies>
  <kpis count="0"/>
  <dimensions count="4">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3">
    <measureGroup name="Month_by_Month" caption="Month_by_Month"/>
    <measureGroup name="Month_by_Month_CT" caption="Month_by_Month_CT"/>
    <measureGroup name="Month_by_Month_NY" caption="Month_by_Month_NY"/>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31734374996" backgroundQuery="1" createdVersion="8" refreshedVersion="8" minRefreshableVersion="3" recordCount="0" supportSubquery="1" supportAdvancedDrill="1" xr:uid="{B0A6EEAC-EAE3-4C7C-BC5A-70188D13667D}">
  <cacheSource type="external" connectionId="4"/>
  <cacheFields count="5">
    <cacheField name="[Month_by_Month_CT].[month].[month]" caption="month" numFmtId="0" hierarchy="5" level="1">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cacheField>
    <cacheField name="[Month_by_Month_CT].[month (Month)].[month (Month)]" caption="month (Month)" numFmtId="0" hierarchy="9" level="1">
      <sharedItems count="12">
        <s v="Jan"/>
        <s v="Feb"/>
        <s v="Mar"/>
        <s v="Apr"/>
        <s v="May"/>
        <s v="Jun"/>
        <s v="Jul"/>
        <s v="Aug"/>
        <s v="Sep"/>
        <s v="Oct"/>
        <s v="Nov"/>
        <s v="Dec"/>
      </sharedItems>
    </cacheField>
    <cacheField name="[Month_by_Month_CT].[month (Quarter)].[month (Quarter)]" caption="month (Quarter)" numFmtId="0" hierarchy="8" level="1">
      <sharedItems count="4">
        <s v="Qtr1"/>
        <s v="Qtr2"/>
        <s v="Qtr3"/>
        <s v="Qtr4"/>
      </sharedItems>
    </cacheField>
    <cacheField name="[Month_by_Month_CT].[month (Year)].[month (Year)]" caption="month (Year)" numFmtId="0" hierarchy="7" level="1">
      <sharedItems count="4">
        <s v="2022"/>
        <s v="2023"/>
        <s v="2024"/>
        <s v="2025"/>
      </sharedItems>
    </cacheField>
    <cacheField name="[Measures].[Sum of total_revenue]" caption="Sum of total_revenue" numFmtId="0" hierarchy="23" level="32767"/>
  </cacheFields>
  <cacheHierarchies count="25">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2" memberValueDatatype="7" unbalanced="0">
      <fieldsUsage count="2">
        <fieldUsage x="-1"/>
        <fieldUsage x="0"/>
      </fieldsUsage>
    </cacheHierarchy>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fieldsUsage count="2">
        <fieldUsage x="-1"/>
        <fieldUsage x="3"/>
      </fieldsUsage>
    </cacheHierarchy>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fieldsUsage count="2">
        <fieldUsage x="-1"/>
        <fieldUsage x="2"/>
      </fieldsUsage>
    </cacheHierarchy>
    <cacheHierarchy uniqueName="[Month_by_Month_CT].[month (Month)]" caption="month (Month)" attribute="1" defaultMemberUniqueName="[Month_by_Month_CT].[month (Month)].[All]" allUniqueName="[Month_by_Month_CT].[month (Month)].[All]" dimensionUniqueName="[Month_by_Month_CT]" displayFolder="" count="2" memberValueDatatype="130" unbalanced="0">
      <fieldsUsage count="2">
        <fieldUsage x="-1"/>
        <fieldUsage x="1"/>
      </fieldsUsage>
    </cacheHierarchy>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1"/>
        </ext>
      </extLst>
    </cacheHierarchy>
    <cacheHierarchy uniqueName="[Measures].[Sum of total_revenue]" caption="Sum of total_revenue" measure="1" displayFolder="" measureGroup="Month_by_Month_CT" count="0" oneField="1" hidden="1">
      <fieldsUsage count="1">
        <fieldUsage x="4"/>
      </fieldsUsage>
      <extLst>
        <ext xmlns:x15="http://schemas.microsoft.com/office/spreadsheetml/2010/11/main" uri="{B97F6D7D-B522-45F9-BDA1-12C45D357490}">
          <x15:cacheHierarchy aggregatedColumn="6"/>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1"/>
        </ext>
      </extLst>
    </cacheHierarchy>
  </cacheHierarchies>
  <kpis count="0"/>
  <dimensions count="4">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3">
    <measureGroup name="Month_by_Month" caption="Month_by_Month"/>
    <measureGroup name="Month_by_Month_CT" caption="Month_by_Month_CT"/>
    <measureGroup name="Month_by_Month_NY" caption="Month_by_Month_NY"/>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00715046296" backgroundQuery="1" createdVersion="3" refreshedVersion="8" minRefreshableVersion="3" recordCount="0" supportSubquery="1" supportAdvancedDrill="1" xr:uid="{49E8426B-5980-4DCD-A2A0-F93AA4C03EE4}">
  <cacheSource type="external" connectionId="4">
    <extLst>
      <ext xmlns:x14="http://schemas.microsoft.com/office/spreadsheetml/2009/9/main" uri="{F057638F-6D5F-4e77-A914-E7F072B9BCA8}">
        <x14:sourceConnection name="ThisWorkbookDataModel"/>
      </ext>
    </extLst>
  </cacheSource>
  <cacheFields count="0"/>
  <cacheHierarchies count="25">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1"/>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6"/>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1"/>
        </ext>
      </extLst>
    </cacheHierarchy>
  </cacheHierarchies>
  <kpis count="0"/>
  <dimensions count="4">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3">
    <measureGroup name="Month_by_Month" caption="Month_by_Month"/>
    <measureGroup name="Month_by_Month_CT" caption="Month_by_Month_CT"/>
    <measureGroup name="Month_by_Month_NY" caption="Month_by_Month_NY"/>
  </measureGroups>
  <maps count="3">
    <map measureGroup="0" dimension="1"/>
    <map measureGroup="1" dimension="2"/>
    <map measureGroup="2" dimension="3"/>
  </maps>
  <extLst>
    <ext xmlns:x14="http://schemas.microsoft.com/office/spreadsheetml/2009/9/main" uri="{725AE2AE-9491-48be-B2B4-4EB974FC3084}">
      <x14:pivotCacheDefinition slicerData="1" pivotCacheId="548210874"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17210532406" backgroundQuery="1" createdVersion="3" refreshedVersion="8" minRefreshableVersion="3" recordCount="0" supportSubquery="1" supportAdvancedDrill="1" xr:uid="{4F2D2179-519C-490A-855E-54E25B70F8E5}">
  <cacheSource type="external" connectionId="4">
    <extLst>
      <ext xmlns:x14="http://schemas.microsoft.com/office/spreadsheetml/2009/9/main" uri="{F057638F-6D5F-4e77-A914-E7F072B9BCA8}">
        <x14:sourceConnection name="ThisWorkbookDataModel"/>
      </ext>
    </extLst>
  </cacheSource>
  <cacheFields count="0"/>
  <cacheHierarchies count="25">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1"/>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6"/>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1"/>
        </ext>
      </extLst>
    </cacheHierarchy>
  </cacheHierarchies>
  <kpis count="0"/>
  <dimensions count="4">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3">
    <measureGroup name="Month_by_Month" caption="Month_by_Month"/>
    <measureGroup name="Month_by_Month_CT" caption="Month_by_Month_CT"/>
    <measureGroup name="Month_by_Month_NY" caption="Month_by_Month_NY"/>
  </measureGroups>
  <maps count="3">
    <map measureGroup="0" dimension="1"/>
    <map measureGroup="1" dimension="2"/>
    <map measureGroup="2" dimension="3"/>
  </maps>
  <extLst>
    <ext xmlns:x14="http://schemas.microsoft.com/office/spreadsheetml/2009/9/main" uri="{725AE2AE-9491-48be-B2B4-4EB974FC3084}">
      <x14:pivotCacheDefinition slicerData="1" pivotCacheId="1415168864"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24487037034" backgroundQuery="1" createdVersion="3" refreshedVersion="8" minRefreshableVersion="3" recordCount="0" supportSubquery="1" supportAdvancedDrill="1" xr:uid="{97B1D078-1874-4E23-9231-4BE0BF3F20DB}">
  <cacheSource type="external" connectionId="4">
    <extLst>
      <ext xmlns:x14="http://schemas.microsoft.com/office/spreadsheetml/2009/9/main" uri="{F057638F-6D5F-4e77-A914-E7F072B9BCA8}">
        <x14:sourceConnection name="ThisWorkbookDataModel"/>
      </ext>
    </extLst>
  </cacheSource>
  <cacheFields count="0"/>
  <cacheHierarchies count="25">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2"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1"/>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6"/>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6969644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5EDF3E-0C25-4B31-8626-36D4AA832175}"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2:E7" firstHeaderRow="1" firstDataRow="1" firstDataCol="1"/>
  <pivotFields count="5">
    <pivotField axis="axisRow" allDrilled="1"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 dataField="1" subtotalTop="0" showAll="0" defaultSubtotal="0"/>
  </pivotFields>
  <rowFields count="4">
    <field x="3"/>
    <field x="2"/>
    <field x="1"/>
    <field x="0"/>
  </rowFields>
  <rowItems count="5">
    <i>
      <x/>
    </i>
    <i>
      <x v="1"/>
    </i>
    <i>
      <x v="2"/>
    </i>
    <i>
      <x v="3"/>
    </i>
    <i t="grand">
      <x/>
    </i>
  </rowItems>
  <colItems count="1">
    <i/>
  </colItems>
  <dataFields count="1">
    <dataField name="Sum of total_revenue" fld="4" baseField="0" baseItem="0"/>
  </dataFields>
  <formats count="8">
    <format dxfId="138">
      <pivotArea field="3" type="button" dataOnly="0" labelOnly="1" outline="0" axis="axisRow" fieldPosition="0"/>
    </format>
    <format dxfId="137">
      <pivotArea field="3" type="button" dataOnly="0" labelOnly="1" outline="0" axis="axisRow" fieldPosition="0"/>
    </format>
    <format dxfId="136">
      <pivotArea dataOnly="0" labelOnly="1" outline="0" axis="axisValues" fieldPosition="0"/>
    </format>
    <format dxfId="135">
      <pivotArea dataOnly="0" labelOnly="1" outline="0" axis="axisValues" fieldPosition="0"/>
    </format>
    <format dxfId="134">
      <pivotArea grandRow="1" outline="0" collapsedLevelsAreSubtotals="1" fieldPosition="0"/>
    </format>
    <format dxfId="133">
      <pivotArea grandRow="1" outline="0" collapsedLevelsAreSubtotals="1" fieldPosition="0"/>
    </format>
    <format dxfId="132">
      <pivotArea dataOnly="0" labelOnly="1" grandRow="1" outline="0" fieldPosition="0"/>
    </format>
    <format dxfId="131">
      <pivotArea dataOnly="0" labelOnly="1" grandRow="1" outline="0" fieldPosition="0"/>
    </format>
  </formats>
  <chartFormats count="4">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3" count="1" selected="0">
            <x v="2"/>
          </reference>
        </references>
      </pivotArea>
    </chartFormat>
    <chartFormat chart="7" format="2">
      <pivotArea type="data" outline="0" fieldPosition="0">
        <references count="2">
          <reference field="4294967294" count="1" selected="0">
            <x v="0"/>
          </reference>
          <reference field="3"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7"/>
    <rowHierarchyUsage hierarchyUsage="8"/>
    <rowHierarchyUsage hierarchyUsage="9"/>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_CT">
        <x15:activeTabTopLevelEntity name="[Month_by_Month_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C04DB6-74F1-419C-9320-B90911B6D254}" name="PivotTable2"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D13:E18" firstHeaderRow="1" firstDataRow="1" firstDataCol="1"/>
  <pivotFields count="5">
    <pivotField axis="axisRow" allDrilled="1" subtotalTop="0" showAll="0" dataSourceSort="1" defaultSubtotal="0" defaultAttributeDrillState="1">
      <items count="1">
        <item x="0"/>
      </items>
    </pivotField>
    <pivotField axis="axisRow" allDrilled="1" subtotalTop="0" showAll="0" dataSourceSort="1" defaultSubtotal="0">
      <items count="3">
        <item x="0" e="0"/>
        <item x="1" e="0"/>
        <item x="2"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 dataField="1" subtotalTop="0" showAll="0" defaultSubtotal="0"/>
  </pivotFields>
  <rowFields count="4">
    <field x="3"/>
    <field x="2"/>
    <field x="1"/>
    <field x="0"/>
  </rowFields>
  <rowItems count="5">
    <i>
      <x/>
    </i>
    <i>
      <x v="1"/>
    </i>
    <i>
      <x v="2"/>
    </i>
    <i>
      <x v="3"/>
    </i>
    <i t="grand">
      <x/>
    </i>
  </rowItems>
  <colItems count="1">
    <i/>
  </colItems>
  <dataFields count="1">
    <dataField name="Sum of total_revenue" fld="4" baseField="0" baseItem="0"/>
  </dataFields>
  <formats count="8">
    <format dxfId="129">
      <pivotArea dataOnly="0" labelOnly="1" outline="0" axis="axisValues" fieldPosition="0"/>
    </format>
    <format dxfId="128">
      <pivotArea dataOnly="0" labelOnly="1" outline="0" axis="axisValues" fieldPosition="0"/>
    </format>
    <format dxfId="127">
      <pivotArea field="3" type="button" dataOnly="0" labelOnly="1" outline="0" axis="axisRow" fieldPosition="0"/>
    </format>
    <format dxfId="126">
      <pivotArea field="3" type="button" dataOnly="0" labelOnly="1" outline="0" axis="axisRow" fieldPosition="0"/>
    </format>
    <format dxfId="125">
      <pivotArea dataOnly="0" labelOnly="1" grandRow="1" outline="0" fieldPosition="0"/>
    </format>
    <format dxfId="124">
      <pivotArea dataOnly="0" labelOnly="1" grandRow="1" outline="0" fieldPosition="0"/>
    </format>
    <format dxfId="123">
      <pivotArea grandRow="1" outline="0" collapsedLevelsAreSubtotals="1" fieldPosition="0"/>
    </format>
    <format dxfId="122">
      <pivotArea grandRow="1" outline="0" collapsedLevelsAreSubtotals="1" fieldPosition="0"/>
    </format>
  </formats>
  <chartFormats count="6">
    <chartFormat chart="16" format="0"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2" format="1">
      <pivotArea type="data" outline="0" fieldPosition="0">
        <references count="2">
          <reference field="4294967294" count="1" selected="0">
            <x v="0"/>
          </reference>
          <reference field="3" count="1" selected="0">
            <x v="2"/>
          </reference>
        </references>
      </pivotArea>
    </chartFormat>
    <chartFormat chart="32" format="2">
      <pivotArea type="data" outline="0" fieldPosition="0">
        <references count="2">
          <reference field="4294967294" count="1" selected="0">
            <x v="0"/>
          </reference>
          <reference field="3" count="1" selected="0">
            <x v="3"/>
          </reference>
        </references>
      </pivotArea>
    </chartFormat>
    <chartFormat chart="32" format="3">
      <pivotArea type="data" outline="0" fieldPosition="0">
        <references count="2">
          <reference field="4294967294" count="1" selected="0">
            <x v="0"/>
          </reference>
          <reference field="3" count="1" selected="0">
            <x v="1"/>
          </reference>
        </references>
      </pivotArea>
    </chartFormat>
    <chartFormat chart="32" format="4">
      <pivotArea type="data" outline="0" fieldPosition="0">
        <references count="2">
          <reference field="4294967294" count="1" selected="0">
            <x v="0"/>
          </reference>
          <reference field="3"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2"/>
    <rowHierarchyUsage hierarchyUsage="13"/>
    <rowHierarchyUsage hierarchyUsage="1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_NY">
        <x15:activeTabTopLevelEntity name="[Month_by_Month_N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0E3E4A-2C2D-4515-8A39-76BB4333DF00}" name="PivotTable4"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3:E8" firstHeaderRow="1" firstDataRow="1" firstDataCol="1"/>
  <pivotFields count="5">
    <pivotField dataField="1" subtotalTop="0" showAll="0" defaultSubtotal="0"/>
    <pivotField axis="axisRow" allDrilled="1"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s>
  <rowFields count="4">
    <field x="4"/>
    <field x="3"/>
    <field x="2"/>
    <field x="1"/>
  </rowFields>
  <rowItems count="5">
    <i>
      <x/>
    </i>
    <i>
      <x v="1"/>
    </i>
    <i>
      <x v="2"/>
    </i>
    <i>
      <x v="3"/>
    </i>
    <i t="grand">
      <x/>
    </i>
  </rowItems>
  <colItems count="1">
    <i/>
  </colItems>
  <dataFields count="1">
    <dataField name="Sum of Total_Revenue" fld="0" baseField="0" baseItem="0"/>
  </dataFields>
  <formats count="8">
    <format dxfId="148">
      <pivotArea field="4" type="button" dataOnly="0" labelOnly="1" outline="0" axis="axisRow" fieldPosition="0"/>
    </format>
    <format dxfId="147">
      <pivotArea field="4" type="button" dataOnly="0" labelOnly="1" outline="0" axis="axisRow" fieldPosition="0"/>
    </format>
    <format dxfId="146">
      <pivotArea dataOnly="0" labelOnly="1" outline="0" axis="axisValues" fieldPosition="0"/>
    </format>
    <format dxfId="145">
      <pivotArea dataOnly="0" labelOnly="1" outline="0" axis="axisValues" fieldPosition="0"/>
    </format>
    <format dxfId="144">
      <pivotArea grandRow="1" outline="0" collapsedLevelsAreSubtotals="1" fieldPosition="0"/>
    </format>
    <format dxfId="143">
      <pivotArea grandRow="1" outline="0" collapsedLevelsAreSubtotals="1" fieldPosition="0"/>
    </format>
    <format dxfId="142">
      <pivotArea dataOnly="0" labelOnly="1" grandRow="1" outline="0" fieldPosition="0"/>
    </format>
    <format dxfId="141">
      <pivotArea dataOnly="0" labelOnly="1" grandRow="1" outline="0" fieldPosition="0"/>
    </format>
  </formats>
  <chartFormats count="6">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4" count="1" selected="0">
            <x v="0"/>
          </reference>
        </references>
      </pivotArea>
    </chartFormat>
    <chartFormat chart="7" format="2">
      <pivotArea type="data" outline="0" fieldPosition="0">
        <references count="2">
          <reference field="4294967294" count="1" selected="0">
            <x v="0"/>
          </reference>
          <reference field="4" count="1" selected="0">
            <x v="1"/>
          </reference>
        </references>
      </pivotArea>
    </chartFormat>
    <chartFormat chart="7" format="3">
      <pivotArea type="data" outline="0" fieldPosition="0">
        <references count="2">
          <reference field="4294967294" count="1" selected="0">
            <x v="0"/>
          </reference>
          <reference field="4" count="1" selected="0">
            <x v="2"/>
          </reference>
        </references>
      </pivotArea>
    </chartFormat>
    <chartFormat chart="7" format="4">
      <pivotArea type="data" outline="0" fieldPosition="0">
        <references count="2">
          <reference field="4294967294" count="1" selected="0">
            <x v="0"/>
          </reference>
          <reference field="4" count="1" selected="0">
            <x v="3"/>
          </reference>
        </references>
      </pivotArea>
    </chartFormat>
  </chartFormats>
  <pivotHierarchies count="25">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2"/>
    <rowHierarchyUsage hierarchyUsage="3"/>
    <rowHierarchyUsage hierarchyUsage="4"/>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
        <x15:activeTabTopLevelEntity name="[Month_by_Month]"/>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F3640094-5098-49A8-B62F-EFA7ABD53FCB}"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3E268DA3-8F95-4C2E-AEF9-0805F5A82923}"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91B058AA-0EED-4160-B925-1245C2A77427}"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1" xr10:uid="{5B0FBC28-B813-4362-B6D6-FC383493639D}" sourceName="[Month_by_Month_CT].[month (Year)]">
  <pivotTables>
    <pivotTable tabId="3" name="PivotTable3"/>
  </pivotTables>
  <data>
    <olap pivotCacheId="548210874">
      <levels count="2">
        <level uniqueName="[Month_by_Month_CT].[month (Year)].[(All)]" sourceCaption="(All)" count="0"/>
        <level uniqueName="[Month_by_Month_CT].[month (Year)].[month (Year)]" sourceCaption="month (Year)" count="4">
          <ranges>
            <range startItem="0">
              <i n="[Month_by_Month_CT].[month (Year)].&amp;[2022]" c="2022"/>
              <i n="[Month_by_Month_CT].[month (Year)].&amp;[2023]" c="2023"/>
              <i n="[Month_by_Month_CT].[month (Year)].&amp;[2024]" c="2024"/>
              <i n="[Month_by_Month_CT].[month (Year)].&amp;[2025]" c="2025"/>
            </range>
          </ranges>
        </level>
      </levels>
      <selections count="1">
        <selection n="[Month_by_Month_CT].[month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 xr10:uid="{B2DE5471-418B-413E-A454-F4568ED875FC}" sourceName="[Month_by_Month_CT].[month (Month)]">
  <pivotTables>
    <pivotTable tabId="3" name="PivotTable3"/>
  </pivotTables>
  <data>
    <olap pivotCacheId="548210874">
      <levels count="2">
        <level uniqueName="[Month_by_Month_CT].[month (Month)].[(All)]" sourceCaption="(All)" count="0"/>
        <level uniqueName="[Month_by_Month_CT].[month (Month)].[month (Month)]" sourceCaption="month (Month)" count="12">
          <ranges>
            <range startItem="0">
              <i n="[Month_by_Month_CT].[month (Month)].&amp;[Jan]" c="Jan"/>
              <i n="[Month_by_Month_CT].[month (Month)].&amp;[Feb]" c="Feb"/>
              <i n="[Month_by_Month_CT].[month (Month)].&amp;[Mar]" c="Mar"/>
              <i n="[Month_by_Month_CT].[month (Month)].&amp;[Apr]" c="Apr"/>
              <i n="[Month_by_Month_CT].[month (Month)].&amp;[May]" c="May"/>
              <i n="[Month_by_Month_CT].[month (Month)].&amp;[Jun]" c="Jun"/>
              <i n="[Month_by_Month_CT].[month (Month)].&amp;[Jul]" c="Jul"/>
              <i n="[Month_by_Month_CT].[month (Month)].&amp;[Aug]" c="Aug"/>
              <i n="[Month_by_Month_CT].[month (Month)].&amp;[Sep]" c="Sep"/>
              <i n="[Month_by_Month_CT].[month (Month)].&amp;[Oct]" c="Oct"/>
              <i n="[Month_by_Month_CT].[month (Month)].&amp;[Nov]" c="Nov"/>
              <i n="[Month_by_Month_CT].[month (Month)].&amp;[Dec]" c="Dec"/>
            </range>
          </ranges>
        </level>
      </levels>
      <selections count="1">
        <selection n="[Month_by_Month_CT].[month (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1" xr10:uid="{A284E73B-FA3B-48C2-9629-1704105E639D}" sourceName="[Month_by_Month_NY].[month (Month)]">
  <pivotTables>
    <pivotTable tabId="4" name="PivotTable2"/>
  </pivotTables>
  <data>
    <olap pivotCacheId="1415168864">
      <levels count="2">
        <level uniqueName="[Month_by_Month_NY].[month (Month)].[(All)]" sourceCaption="(All)" count="0"/>
        <level uniqueName="[Month_by_Month_NY].[month (Month)].[month (Month)]" sourceCaption="month (Month)" count="12">
          <ranges>
            <range startItem="0">
              <i n="[Month_by_Month_NY].[month (Month)].&amp;[Jan]" c="Jan"/>
              <i n="[Month_by_Month_NY].[month (Month)].&amp;[Feb]" c="Feb"/>
              <i n="[Month_by_Month_NY].[month (Month)].&amp;[Mar]" c="Mar"/>
              <i n="[Month_by_Month_NY].[month (Month)].&amp;[Apr]" c="Apr"/>
              <i n="[Month_by_Month_NY].[month (Month)].&amp;[May]" c="May"/>
              <i n="[Month_by_Month_NY].[month (Month)].&amp;[Jun]" c="Jun"/>
              <i n="[Month_by_Month_NY].[month (Month)].&amp;[Jul]" c="Jul"/>
              <i n="[Month_by_Month_NY].[month (Month)].&amp;[Aug]" c="Aug"/>
              <i n="[Month_by_Month_NY].[month (Month)].&amp;[Sep]" c="Sep"/>
              <i n="[Month_by_Month_NY].[month (Month)].&amp;[Oct]" c="Oct"/>
              <i n="[Month_by_Month_NY].[month (Month)].&amp;[Nov]" c="Nov"/>
              <i n="[Month_by_Month_NY].[month (Month)].&amp;[Dec]" c="Dec"/>
            </range>
          </ranges>
        </level>
      </levels>
      <selections count="1">
        <selection n="[Month_by_Month_NY].[month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 xr10:uid="{25B8B626-D93B-41D3-8DAB-39BB325C8C0F}" sourceName="[Month_by_Month_NY].[month (Year)]">
  <pivotTables>
    <pivotTable tabId="4" name="PivotTable2"/>
  </pivotTables>
  <data>
    <olap pivotCacheId="1415168864">
      <levels count="2">
        <level uniqueName="[Month_by_Month_NY].[month (Year)].[(All)]" sourceCaption="(All)" count="0"/>
        <level uniqueName="[Month_by_Month_NY].[month (Year)].[month (Year)]" sourceCaption="month (Year)" count="4">
          <ranges>
            <range startItem="0">
              <i n="[Month_by_Month_NY].[month (Year)].&amp;[2022]" c="2022"/>
              <i n="[Month_by_Month_NY].[month (Year)].&amp;[2023]" c="2023"/>
              <i n="[Month_by_Month_NY].[month (Year)].&amp;[2024]" c="2024"/>
              <i n="[Month_by_Month_NY].[month (Year)].&amp;[2025]" c="2025"/>
            </range>
          </ranges>
        </level>
      </levels>
      <selections count="1">
        <selection n="[Month_by_Month_NY].[month (Yea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2" xr10:uid="{7A8D3B1F-F334-4822-83A2-1F3C854F5F66}" sourceName="[Month_by_Month].[Month (Month)]">
  <pivotTables>
    <pivotTable tabId="5" name="PivotTable4"/>
  </pivotTables>
  <data>
    <olap pivotCacheId="696964472">
      <levels count="2">
        <level uniqueName="[Month_by_Month].[Month (Month)].[(All)]" sourceCaption="(All)" count="0"/>
        <level uniqueName="[Month_by_Month].[Month (Month)].[Month (Month)]" sourceCaption="Month (Month)" count="12">
          <ranges>
            <range startItem="0">
              <i n="[Month_by_Month].[Month (Month)].&amp;[Jan]" c="Jan"/>
              <i n="[Month_by_Month].[Month (Month)].&amp;[Feb]" c="Feb"/>
              <i n="[Month_by_Month].[Month (Month)].&amp;[Mar]" c="Mar"/>
              <i n="[Month_by_Month].[Month (Month)].&amp;[Apr]" c="Apr"/>
              <i n="[Month_by_Month].[Month (Month)].&amp;[May]" c="May"/>
              <i n="[Month_by_Month].[Month (Month)].&amp;[Jun]" c="Jun"/>
              <i n="[Month_by_Month].[Month (Month)].&amp;[Jul]" c="Jul"/>
              <i n="[Month_by_Month].[Month (Month)].&amp;[Aug]" c="Aug"/>
              <i n="[Month_by_Month].[Month (Month)].&amp;[Sep]" c="Sep"/>
              <i n="[Month_by_Month].[Month (Month)].&amp;[Oct]" c="Oct"/>
              <i n="[Month_by_Month].[Month (Month)].&amp;[Nov]" c="Nov"/>
              <i n="[Month_by_Month].[Month (Month)].&amp;[Dec]" c="Dec"/>
            </range>
          </ranges>
        </level>
      </levels>
      <selections count="1">
        <selection n="[Month_by_Month].[Month (Month)].[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2" xr10:uid="{3CE27AA9-09D6-4609-97E6-ABD2ABA2E2BE}" sourceName="[Month_by_Month].[Month (Year)]">
  <pivotTables>
    <pivotTable tabId="5" name="PivotTable4"/>
  </pivotTables>
  <data>
    <olap pivotCacheId="696964472">
      <levels count="2">
        <level uniqueName="[Month_by_Month].[Month (Year)].[(All)]" sourceCaption="(All)" count="0"/>
        <level uniqueName="[Month_by_Month].[Month (Year)].[Month (Year)]" sourceCaption="Month (Year)" count="4">
          <ranges>
            <range startItem="0">
              <i n="[Month_by_Month].[Month (Year)].&amp;[2022]" c="2022"/>
              <i n="[Month_by_Month].[Month (Year)].&amp;[2023]" c="2023"/>
              <i n="[Month_by_Month].[Month (Year)].&amp;[2024]" c="2024"/>
              <i n="[Month_by_Month].[Month (Year)].&amp;[2025]" c="2025"/>
            </range>
          </ranges>
        </level>
      </levels>
      <selections count="1">
        <selection n="[Month_by_Month].[Month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Year) 1" xr10:uid="{56FEF96B-4AD0-4EE2-93E5-D4CB41895C55}" cache="Slicer_month__Year1" caption="Year" level="1" style="SlicerStyleLight6" rowHeight="251883"/>
  <slicer name="month (Month)" xr10:uid="{788D754C-261B-46A7-BF70-482F06EE5B68}" cache="Slicer_month__Month" caption="Month" level="1" style="SlicerStyleLight6"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Month) 1" xr10:uid="{8F810553-C420-4D1C-8E5F-D03D92D6B06B}" cache="Slicer_month__Month1" caption="Month" level="1" style="SlicerStyleLight6" rowHeight="251883"/>
  <slicer name="month (Year)" xr10:uid="{3E2A4FF6-AF59-4ABC-9802-ACCFDE9F799B}" cache="Slicer_month__Year" caption="Year" level="1" style="SlicerStyleLight6"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Month) 2" xr10:uid="{0BAE40C7-4EC4-4FF1-929C-0192AC6858D6}" cache="Slicer_Month__Month2" caption=" Month" level="1" style="SlicerStyleLight6" rowHeight="251883"/>
  <slicer name="Month (Year) 2" xr10:uid="{E0617DB9-8664-4DCA-9E76-9A1C3E35F0AD}" cache="Slicer_Month__Year2" caption="Year" level="1" style="SlicerStyleLight6"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C9C94C-1CC7-4C97-AC20-872C5BD2F515}" name="Month_by_Month_CT" displayName="Month_by_Month_CT" ref="A1:B49" tableType="queryTable" totalsRowShown="0">
  <autoFilter ref="A1:B49" xr:uid="{D6C9C94C-1CC7-4C97-AC20-872C5BD2F515}"/>
  <tableColumns count="2">
    <tableColumn id="1" xr3:uid="{BE27E54F-B39F-4FBA-B965-22A9DEC4A798}" uniqueName="1" name="month" queryTableFieldId="1" dataDxfId="130"/>
    <tableColumn id="2" xr3:uid="{813E2F6F-48CA-44A8-85D7-8D8F5BDDA1DD}" uniqueName="2" name="total_revenu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376913-3285-41C5-97E5-2CBF051A5EA0}" name="Month_by_Month_NY" displayName="Month_by_Month_NY" ref="A1:B49" tableType="queryTable" totalsRowShown="0" headerRowDxfId="121">
  <autoFilter ref="A1:B49" xr:uid="{AF376913-3285-41C5-97E5-2CBF051A5EA0}"/>
  <tableColumns count="2">
    <tableColumn id="1" xr3:uid="{CA30B814-E434-45B5-886F-FD2A29F29689}" uniqueName="1" name="Month" queryTableFieldId="1" dataDxfId="120"/>
    <tableColumn id="2" xr3:uid="{61F5B8DD-1394-4143-9914-0ABFB5692836}" uniqueName="2" name="Total_Revenue"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2B4967-D55E-4E11-BE7F-11B7B2816DC4}" name="Month_by_Month" displayName="Month_by_Month" ref="A1:B49" tableType="queryTable" totalsRowShown="0" headerRowDxfId="140">
  <autoFilter ref="A1:B49" xr:uid="{362B4967-D55E-4E11-BE7F-11B7B2816DC4}"/>
  <tableColumns count="2">
    <tableColumn id="1" xr3:uid="{EA185D14-DAC1-489F-A622-C8278CBD1C0B}" uniqueName="1" name="Month" queryTableFieldId="1" dataDxfId="139"/>
    <tableColumn id="2" xr3:uid="{215FC225-09DD-47CA-8E8D-F5284C338924}" uniqueName="2" name="Total_Revenue" queryTableFieldId="2"/>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2.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ivotTable" Target="../pivotTables/pivotTabl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8882E-2C44-497E-AE3E-55774EEB10C9}">
  <dimension ref="A1:E49"/>
  <sheetViews>
    <sheetView tabSelected="1" topLeftCell="A7" workbookViewId="0">
      <selection activeCell="L28" sqref="L28"/>
    </sheetView>
  </sheetViews>
  <sheetFormatPr defaultRowHeight="14.5" x14ac:dyDescent="0.35"/>
  <cols>
    <col min="1" max="1" width="9.08984375" bestFit="1" customWidth="1"/>
    <col min="2" max="2" width="14.453125" bestFit="1" customWidth="1"/>
    <col min="4" max="4" width="12.453125" bestFit="1" customWidth="1"/>
    <col min="5" max="6" width="18.54296875" bestFit="1" customWidth="1"/>
    <col min="7" max="7" width="15.6328125" bestFit="1" customWidth="1"/>
    <col min="8" max="15" width="8.81640625" bestFit="1" customWidth="1"/>
    <col min="16" max="18" width="9.26953125" bestFit="1" customWidth="1"/>
    <col min="19" max="21" width="8.81640625" bestFit="1" customWidth="1"/>
    <col min="22" max="22" width="8.26953125" bestFit="1" customWidth="1"/>
    <col min="23" max="27" width="8.81640625" bestFit="1" customWidth="1"/>
    <col min="28" max="30" width="9.26953125" bestFit="1" customWidth="1"/>
    <col min="31" max="33" width="8.81640625" bestFit="1" customWidth="1"/>
    <col min="34" max="34" width="8.26953125" bestFit="1" customWidth="1"/>
    <col min="35" max="39" width="8.81640625" bestFit="1" customWidth="1"/>
    <col min="40" max="42" width="9.26953125" bestFit="1" customWidth="1"/>
    <col min="43" max="51" width="8.81640625" bestFit="1" customWidth="1"/>
    <col min="52" max="52" width="9.81640625" bestFit="1" customWidth="1"/>
    <col min="53" max="54" width="9.26953125" bestFit="1" customWidth="1"/>
    <col min="55" max="55" width="10.81640625" bestFit="1" customWidth="1"/>
  </cols>
  <sheetData>
    <row r="1" spans="1:5" x14ac:dyDescent="0.35">
      <c r="A1" t="s">
        <v>0</v>
      </c>
      <c r="B1" t="s">
        <v>1</v>
      </c>
    </row>
    <row r="2" spans="1:5" x14ac:dyDescent="0.35">
      <c r="A2" s="1">
        <v>44562</v>
      </c>
      <c r="B2">
        <v>29958.25</v>
      </c>
      <c r="D2" s="4" t="s">
        <v>8</v>
      </c>
      <c r="E2" s="4" t="s">
        <v>7</v>
      </c>
    </row>
    <row r="3" spans="1:5" x14ac:dyDescent="0.35">
      <c r="A3" s="1">
        <v>44593</v>
      </c>
      <c r="B3">
        <v>25563.98</v>
      </c>
      <c r="D3" s="2" t="s">
        <v>3</v>
      </c>
      <c r="E3" s="6">
        <v>399252.57</v>
      </c>
    </row>
    <row r="4" spans="1:5" x14ac:dyDescent="0.35">
      <c r="A4" s="1">
        <v>44621</v>
      </c>
      <c r="B4">
        <v>33995.57</v>
      </c>
      <c r="D4" s="2" t="s">
        <v>4</v>
      </c>
      <c r="E4" s="6">
        <v>553024.43000000005</v>
      </c>
    </row>
    <row r="5" spans="1:5" x14ac:dyDescent="0.35">
      <c r="A5" s="1">
        <v>44652</v>
      </c>
      <c r="B5">
        <v>31587.119999999999</v>
      </c>
      <c r="D5" s="2" t="s">
        <v>5</v>
      </c>
      <c r="E5" s="6">
        <v>555941.61</v>
      </c>
    </row>
    <row r="6" spans="1:5" x14ac:dyDescent="0.35">
      <c r="A6" s="1">
        <v>44682</v>
      </c>
      <c r="B6">
        <v>37953.480000000003</v>
      </c>
      <c r="D6" s="2" t="s">
        <v>6</v>
      </c>
      <c r="E6" s="6">
        <v>884003.83</v>
      </c>
    </row>
    <row r="7" spans="1:5" x14ac:dyDescent="0.35">
      <c r="A7" s="1">
        <v>44713</v>
      </c>
      <c r="B7">
        <v>32008.85</v>
      </c>
      <c r="D7" s="5" t="s">
        <v>2</v>
      </c>
      <c r="E7" s="7">
        <v>2392222.44</v>
      </c>
    </row>
    <row r="8" spans="1:5" x14ac:dyDescent="0.35">
      <c r="A8" s="1">
        <v>44743</v>
      </c>
      <c r="B8">
        <v>30656.27</v>
      </c>
    </row>
    <row r="9" spans="1:5" x14ac:dyDescent="0.35">
      <c r="A9" s="1">
        <v>44774</v>
      </c>
      <c r="B9">
        <v>42881.99</v>
      </c>
    </row>
    <row r="10" spans="1:5" x14ac:dyDescent="0.35">
      <c r="A10" s="1">
        <v>44805</v>
      </c>
      <c r="B10">
        <v>30369.64</v>
      </c>
    </row>
    <row r="11" spans="1:5" x14ac:dyDescent="0.35">
      <c r="A11" s="1">
        <v>44835</v>
      </c>
      <c r="B11">
        <v>43646.37</v>
      </c>
    </row>
    <row r="12" spans="1:5" x14ac:dyDescent="0.35">
      <c r="A12" s="1">
        <v>44866</v>
      </c>
      <c r="B12">
        <v>25950.41</v>
      </c>
    </row>
    <row r="13" spans="1:5" x14ac:dyDescent="0.35">
      <c r="A13" s="1">
        <v>44896</v>
      </c>
      <c r="B13">
        <v>34680.639999999999</v>
      </c>
    </row>
    <row r="14" spans="1:5" x14ac:dyDescent="0.35">
      <c r="A14" s="1">
        <v>44927</v>
      </c>
      <c r="B14">
        <v>38351.449999999997</v>
      </c>
    </row>
    <row r="15" spans="1:5" x14ac:dyDescent="0.35">
      <c r="A15" s="1">
        <v>44958</v>
      </c>
      <c r="B15">
        <v>53435.37</v>
      </c>
    </row>
    <row r="16" spans="1:5" x14ac:dyDescent="0.35">
      <c r="A16" s="1">
        <v>44986</v>
      </c>
      <c r="B16">
        <v>50828.54</v>
      </c>
    </row>
    <row r="17" spans="1:2" x14ac:dyDescent="0.35">
      <c r="A17" s="1">
        <v>45017</v>
      </c>
      <c r="B17">
        <v>45747.199999999997</v>
      </c>
    </row>
    <row r="18" spans="1:2" x14ac:dyDescent="0.35">
      <c r="A18" s="1">
        <v>45047</v>
      </c>
      <c r="B18">
        <v>39215.78</v>
      </c>
    </row>
    <row r="19" spans="1:2" x14ac:dyDescent="0.35">
      <c r="A19" s="1">
        <v>45078</v>
      </c>
      <c r="B19">
        <v>39754.07</v>
      </c>
    </row>
    <row r="20" spans="1:2" x14ac:dyDescent="0.35">
      <c r="A20" s="1">
        <v>45108</v>
      </c>
      <c r="B20">
        <v>49592.69</v>
      </c>
    </row>
    <row r="21" spans="1:2" x14ac:dyDescent="0.35">
      <c r="A21" s="1">
        <v>45139</v>
      </c>
      <c r="B21">
        <v>48445.34</v>
      </c>
    </row>
    <row r="22" spans="1:2" x14ac:dyDescent="0.35">
      <c r="A22" s="1">
        <v>45170</v>
      </c>
      <c r="B22">
        <v>49175.79</v>
      </c>
    </row>
    <row r="23" spans="1:2" x14ac:dyDescent="0.35">
      <c r="A23" s="1">
        <v>45200</v>
      </c>
      <c r="B23">
        <v>45347.65</v>
      </c>
    </row>
    <row r="24" spans="1:2" x14ac:dyDescent="0.35">
      <c r="A24" s="1">
        <v>45231</v>
      </c>
      <c r="B24">
        <v>42683.73</v>
      </c>
    </row>
    <row r="25" spans="1:2" x14ac:dyDescent="0.35">
      <c r="A25" s="1">
        <v>45261</v>
      </c>
      <c r="B25">
        <v>50446.82</v>
      </c>
    </row>
    <row r="26" spans="1:2" x14ac:dyDescent="0.35">
      <c r="A26" s="1">
        <v>45292</v>
      </c>
      <c r="B26">
        <v>57974.76</v>
      </c>
    </row>
    <row r="27" spans="1:2" x14ac:dyDescent="0.35">
      <c r="A27" s="1">
        <v>45323</v>
      </c>
      <c r="B27">
        <v>49206.33</v>
      </c>
    </row>
    <row r="28" spans="1:2" x14ac:dyDescent="0.35">
      <c r="A28" s="1">
        <v>45352</v>
      </c>
      <c r="B28">
        <v>46044.68</v>
      </c>
    </row>
    <row r="29" spans="1:2" x14ac:dyDescent="0.35">
      <c r="A29" s="1">
        <v>45383</v>
      </c>
      <c r="B29">
        <v>38918.300000000003</v>
      </c>
    </row>
    <row r="30" spans="1:2" x14ac:dyDescent="0.35">
      <c r="A30" s="1">
        <v>45413</v>
      </c>
      <c r="B30">
        <v>41203.81</v>
      </c>
    </row>
    <row r="31" spans="1:2" x14ac:dyDescent="0.35">
      <c r="A31" s="1">
        <v>45444</v>
      </c>
      <c r="B31">
        <v>48142.95</v>
      </c>
    </row>
    <row r="32" spans="1:2" x14ac:dyDescent="0.35">
      <c r="A32" s="1">
        <v>45474</v>
      </c>
      <c r="B32">
        <v>48445.34</v>
      </c>
    </row>
    <row r="33" spans="1:2" x14ac:dyDescent="0.35">
      <c r="A33" s="1">
        <v>45505</v>
      </c>
      <c r="B33">
        <v>49633.16</v>
      </c>
    </row>
    <row r="34" spans="1:2" x14ac:dyDescent="0.35">
      <c r="A34" s="1">
        <v>45536</v>
      </c>
      <c r="B34">
        <v>44890.28</v>
      </c>
    </row>
    <row r="35" spans="1:2" x14ac:dyDescent="0.35">
      <c r="A35" s="1">
        <v>45566</v>
      </c>
      <c r="B35">
        <v>43061.440000000002</v>
      </c>
    </row>
    <row r="36" spans="1:2" x14ac:dyDescent="0.35">
      <c r="A36" s="1">
        <v>45597</v>
      </c>
      <c r="B36">
        <v>50069.11</v>
      </c>
    </row>
    <row r="37" spans="1:2" x14ac:dyDescent="0.35">
      <c r="A37" s="1">
        <v>45627</v>
      </c>
      <c r="B37">
        <v>38351.449999999997</v>
      </c>
    </row>
    <row r="38" spans="1:2" x14ac:dyDescent="0.35">
      <c r="A38" s="1">
        <v>45658</v>
      </c>
      <c r="B38">
        <v>68601.89</v>
      </c>
    </row>
    <row r="39" spans="1:2" x14ac:dyDescent="0.35">
      <c r="A39" s="1">
        <v>45689</v>
      </c>
      <c r="B39">
        <v>55131.75</v>
      </c>
    </row>
    <row r="40" spans="1:2" x14ac:dyDescent="0.35">
      <c r="A40" s="1">
        <v>45717</v>
      </c>
      <c r="B40">
        <v>69261.429999999993</v>
      </c>
    </row>
    <row r="41" spans="1:2" x14ac:dyDescent="0.35">
      <c r="A41" s="1">
        <v>45748</v>
      </c>
      <c r="B41">
        <v>58288.72</v>
      </c>
    </row>
    <row r="42" spans="1:2" x14ac:dyDescent="0.35">
      <c r="A42" s="1">
        <v>45778</v>
      </c>
      <c r="B42">
        <v>66996.149999999994</v>
      </c>
    </row>
    <row r="43" spans="1:2" x14ac:dyDescent="0.35">
      <c r="A43" s="1">
        <v>45809</v>
      </c>
      <c r="B43">
        <v>60671.67</v>
      </c>
    </row>
    <row r="44" spans="1:2" x14ac:dyDescent="0.35">
      <c r="A44" s="1">
        <v>45839</v>
      </c>
      <c r="B44">
        <v>88590.03</v>
      </c>
    </row>
    <row r="45" spans="1:2" x14ac:dyDescent="0.35">
      <c r="A45" s="1">
        <v>45870</v>
      </c>
      <c r="B45">
        <v>77048.509999999995</v>
      </c>
    </row>
    <row r="46" spans="1:2" x14ac:dyDescent="0.35">
      <c r="A46" s="1">
        <v>45901</v>
      </c>
      <c r="B46">
        <v>71032.14</v>
      </c>
    </row>
    <row r="47" spans="1:2" x14ac:dyDescent="0.35">
      <c r="A47" s="1">
        <v>45931</v>
      </c>
      <c r="B47">
        <v>115828.46</v>
      </c>
    </row>
    <row r="48" spans="1:2" x14ac:dyDescent="0.35">
      <c r="A48" s="1">
        <v>45962</v>
      </c>
      <c r="B48">
        <v>59762.07</v>
      </c>
    </row>
    <row r="49" spans="1:2" x14ac:dyDescent="0.35">
      <c r="A49" s="1">
        <v>45992</v>
      </c>
      <c r="B49">
        <v>92791.01</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B4DB6-DE3C-4A96-BDAB-AAC319754AB4}">
  <dimension ref="A1:E49"/>
  <sheetViews>
    <sheetView topLeftCell="A10" workbookViewId="0">
      <selection activeCell="J41" sqref="J41"/>
    </sheetView>
  </sheetViews>
  <sheetFormatPr defaultRowHeight="14.5" x14ac:dyDescent="0.35"/>
  <cols>
    <col min="1" max="1" width="9.08984375" bestFit="1" customWidth="1"/>
    <col min="2" max="2" width="14.453125" bestFit="1" customWidth="1"/>
    <col min="4" max="4" width="12.453125" bestFit="1" customWidth="1"/>
    <col min="5" max="5" width="18.54296875" bestFit="1" customWidth="1"/>
  </cols>
  <sheetData>
    <row r="1" spans="1:5" s="3" customFormat="1" x14ac:dyDescent="0.35">
      <c r="A1" s="3" t="s">
        <v>9</v>
      </c>
      <c r="B1" s="3" t="s">
        <v>10</v>
      </c>
    </row>
    <row r="2" spans="1:5" x14ac:dyDescent="0.35">
      <c r="A2" s="1">
        <v>44562</v>
      </c>
      <c r="B2">
        <v>58635.53</v>
      </c>
    </row>
    <row r="3" spans="1:5" x14ac:dyDescent="0.35">
      <c r="A3" s="1">
        <v>44593</v>
      </c>
      <c r="B3">
        <v>60262.97</v>
      </c>
    </row>
    <row r="4" spans="1:5" x14ac:dyDescent="0.35">
      <c r="A4" s="1">
        <v>44621</v>
      </c>
      <c r="B4">
        <v>57143.4</v>
      </c>
    </row>
    <row r="5" spans="1:5" x14ac:dyDescent="0.35">
      <c r="A5" s="1">
        <v>44652</v>
      </c>
      <c r="B5">
        <v>56880.02</v>
      </c>
    </row>
    <row r="6" spans="1:5" x14ac:dyDescent="0.35">
      <c r="A6" s="1">
        <v>44682</v>
      </c>
      <c r="B6">
        <v>51805.22</v>
      </c>
    </row>
    <row r="7" spans="1:5" x14ac:dyDescent="0.35">
      <c r="A7" s="1">
        <v>44713</v>
      </c>
      <c r="B7">
        <v>60549.86</v>
      </c>
    </row>
    <row r="8" spans="1:5" x14ac:dyDescent="0.35">
      <c r="A8" s="1">
        <v>44743</v>
      </c>
      <c r="B8">
        <v>56250.74</v>
      </c>
    </row>
    <row r="9" spans="1:5" x14ac:dyDescent="0.35">
      <c r="A9" s="1">
        <v>44774</v>
      </c>
      <c r="B9">
        <v>55052.53</v>
      </c>
    </row>
    <row r="10" spans="1:5" x14ac:dyDescent="0.35">
      <c r="A10" s="1">
        <v>44805</v>
      </c>
      <c r="B10">
        <v>60495.63</v>
      </c>
    </row>
    <row r="11" spans="1:5" x14ac:dyDescent="0.35">
      <c r="A11" s="1">
        <v>44835</v>
      </c>
      <c r="B11">
        <v>56896.98</v>
      </c>
    </row>
    <row r="12" spans="1:5" x14ac:dyDescent="0.35">
      <c r="A12" s="1">
        <v>44866</v>
      </c>
      <c r="B12">
        <v>58402.69</v>
      </c>
    </row>
    <row r="13" spans="1:5" x14ac:dyDescent="0.35">
      <c r="A13" s="1">
        <v>44896</v>
      </c>
      <c r="B13">
        <v>55006.46</v>
      </c>
      <c r="D13" s="4" t="s">
        <v>8</v>
      </c>
      <c r="E13" s="4" t="s">
        <v>7</v>
      </c>
    </row>
    <row r="14" spans="1:5" x14ac:dyDescent="0.35">
      <c r="A14" s="1">
        <v>44927</v>
      </c>
      <c r="B14">
        <v>85210.01</v>
      </c>
      <c r="D14" s="2" t="s">
        <v>3</v>
      </c>
      <c r="E14" s="6">
        <v>687382.03</v>
      </c>
    </row>
    <row r="15" spans="1:5" x14ac:dyDescent="0.35">
      <c r="A15" s="1">
        <v>44958</v>
      </c>
      <c r="B15">
        <v>86906.65</v>
      </c>
      <c r="D15" s="2" t="s">
        <v>4</v>
      </c>
      <c r="E15" s="6">
        <v>1044157.05</v>
      </c>
    </row>
    <row r="16" spans="1:5" x14ac:dyDescent="0.35">
      <c r="A16" s="1">
        <v>44986</v>
      </c>
      <c r="B16">
        <v>79964.160000000003</v>
      </c>
      <c r="D16" s="2" t="s">
        <v>5</v>
      </c>
      <c r="E16" s="6">
        <v>1046676.37</v>
      </c>
    </row>
    <row r="17" spans="1:5" x14ac:dyDescent="0.35">
      <c r="A17" s="1">
        <v>45017</v>
      </c>
      <c r="B17">
        <v>97173.99</v>
      </c>
      <c r="D17" s="2" t="s">
        <v>6</v>
      </c>
      <c r="E17" s="6">
        <v>1552601.64</v>
      </c>
    </row>
    <row r="18" spans="1:5" x14ac:dyDescent="0.35">
      <c r="A18" s="1">
        <v>45047</v>
      </c>
      <c r="B18">
        <v>101370.73</v>
      </c>
      <c r="D18" s="5" t="s">
        <v>2</v>
      </c>
      <c r="E18" s="7">
        <v>4330817.09</v>
      </c>
    </row>
    <row r="19" spans="1:5" x14ac:dyDescent="0.35">
      <c r="A19" s="1">
        <v>45078</v>
      </c>
      <c r="B19">
        <v>83465.899999999994</v>
      </c>
    </row>
    <row r="20" spans="1:5" x14ac:dyDescent="0.35">
      <c r="A20" s="1">
        <v>45108</v>
      </c>
      <c r="B20">
        <v>90818.8</v>
      </c>
    </row>
    <row r="21" spans="1:5" x14ac:dyDescent="0.35">
      <c r="A21" s="1">
        <v>45139</v>
      </c>
      <c r="B21">
        <v>89422.22</v>
      </c>
    </row>
    <row r="22" spans="1:5" x14ac:dyDescent="0.35">
      <c r="A22" s="1">
        <v>45170</v>
      </c>
      <c r="B22">
        <v>89196.88</v>
      </c>
    </row>
    <row r="23" spans="1:5" x14ac:dyDescent="0.35">
      <c r="A23" s="1">
        <v>45200</v>
      </c>
      <c r="B23">
        <v>85095.72</v>
      </c>
    </row>
    <row r="24" spans="1:5" x14ac:dyDescent="0.35">
      <c r="A24" s="1">
        <v>45231</v>
      </c>
      <c r="B24">
        <v>79627.33</v>
      </c>
    </row>
    <row r="25" spans="1:5" x14ac:dyDescent="0.35">
      <c r="A25" s="1">
        <v>45261</v>
      </c>
      <c r="B25">
        <v>75904.66</v>
      </c>
    </row>
    <row r="26" spans="1:5" x14ac:dyDescent="0.35">
      <c r="A26" s="1">
        <v>45292</v>
      </c>
      <c r="B26">
        <v>94306.43</v>
      </c>
    </row>
    <row r="27" spans="1:5" x14ac:dyDescent="0.35">
      <c r="A27" s="1">
        <v>45323</v>
      </c>
      <c r="B27">
        <v>75083.7</v>
      </c>
    </row>
    <row r="28" spans="1:5" x14ac:dyDescent="0.35">
      <c r="A28" s="1">
        <v>45352</v>
      </c>
      <c r="B28">
        <v>99439.5</v>
      </c>
    </row>
    <row r="29" spans="1:5" x14ac:dyDescent="0.35">
      <c r="A29" s="1">
        <v>45383</v>
      </c>
      <c r="B29">
        <v>99105.22</v>
      </c>
    </row>
    <row r="30" spans="1:5" x14ac:dyDescent="0.35">
      <c r="A30" s="1">
        <v>45413</v>
      </c>
      <c r="B30">
        <v>87328.99</v>
      </c>
    </row>
    <row r="31" spans="1:5" x14ac:dyDescent="0.35">
      <c r="A31" s="1">
        <v>45444</v>
      </c>
      <c r="B31">
        <v>86955.71</v>
      </c>
    </row>
    <row r="32" spans="1:5" x14ac:dyDescent="0.35">
      <c r="A32" s="1">
        <v>45474</v>
      </c>
      <c r="B32">
        <v>89422.22</v>
      </c>
    </row>
    <row r="33" spans="1:2" x14ac:dyDescent="0.35">
      <c r="A33" s="1">
        <v>45505</v>
      </c>
      <c r="B33">
        <v>91189.41</v>
      </c>
    </row>
    <row r="34" spans="1:2" x14ac:dyDescent="0.35">
      <c r="A34" s="1">
        <v>45536</v>
      </c>
      <c r="B34">
        <v>83103.19</v>
      </c>
    </row>
    <row r="35" spans="1:2" x14ac:dyDescent="0.35">
      <c r="A35" s="1">
        <v>45566</v>
      </c>
      <c r="B35">
        <v>80543.34</v>
      </c>
    </row>
    <row r="36" spans="1:2" x14ac:dyDescent="0.35">
      <c r="A36" s="1">
        <v>45597</v>
      </c>
      <c r="B36">
        <v>74988.649999999994</v>
      </c>
    </row>
    <row r="37" spans="1:2" x14ac:dyDescent="0.35">
      <c r="A37" s="1">
        <v>45627</v>
      </c>
      <c r="B37">
        <v>85210.01</v>
      </c>
    </row>
    <row r="38" spans="1:2" x14ac:dyDescent="0.35">
      <c r="A38" s="1">
        <v>45658</v>
      </c>
      <c r="B38">
        <v>135193.89000000001</v>
      </c>
    </row>
    <row r="39" spans="1:2" x14ac:dyDescent="0.35">
      <c r="A39" s="1">
        <v>45689</v>
      </c>
      <c r="B39">
        <v>104990.83</v>
      </c>
    </row>
    <row r="40" spans="1:2" x14ac:dyDescent="0.35">
      <c r="A40" s="1">
        <v>45717</v>
      </c>
      <c r="B40">
        <v>119415.67999999999</v>
      </c>
    </row>
    <row r="41" spans="1:2" x14ac:dyDescent="0.35">
      <c r="A41" s="1">
        <v>45748</v>
      </c>
      <c r="B41">
        <v>117652.02</v>
      </c>
    </row>
    <row r="42" spans="1:2" x14ac:dyDescent="0.35">
      <c r="A42" s="1">
        <v>45778</v>
      </c>
      <c r="B42">
        <v>119352.07</v>
      </c>
    </row>
    <row r="43" spans="1:2" x14ac:dyDescent="0.35">
      <c r="A43" s="1">
        <v>45809</v>
      </c>
      <c r="B43">
        <v>135192.03</v>
      </c>
    </row>
    <row r="44" spans="1:2" x14ac:dyDescent="0.35">
      <c r="A44" s="1">
        <v>45839</v>
      </c>
      <c r="B44">
        <v>126976.23</v>
      </c>
    </row>
    <row r="45" spans="1:2" x14ac:dyDescent="0.35">
      <c r="A45" s="1">
        <v>45870</v>
      </c>
      <c r="B45">
        <v>133776.6</v>
      </c>
    </row>
    <row r="46" spans="1:2" x14ac:dyDescent="0.35">
      <c r="A46" s="1">
        <v>45901</v>
      </c>
      <c r="B46">
        <v>119597</v>
      </c>
    </row>
    <row r="47" spans="1:2" x14ac:dyDescent="0.35">
      <c r="A47" s="1">
        <v>45931</v>
      </c>
      <c r="B47">
        <v>185241.67</v>
      </c>
    </row>
    <row r="48" spans="1:2" x14ac:dyDescent="0.35">
      <c r="A48" s="1">
        <v>45962</v>
      </c>
      <c r="B48">
        <v>126941.06</v>
      </c>
    </row>
    <row r="49" spans="1:2" x14ac:dyDescent="0.35">
      <c r="A49" s="1">
        <v>45992</v>
      </c>
      <c r="B49">
        <v>128272.56</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736D6-E9E9-4DCB-82C8-3627E891720A}">
  <dimension ref="A1:E49"/>
  <sheetViews>
    <sheetView topLeftCell="A10" workbookViewId="0">
      <selection activeCell="L31" sqref="L31"/>
    </sheetView>
  </sheetViews>
  <sheetFormatPr defaultRowHeight="14.5" x14ac:dyDescent="0.35"/>
  <cols>
    <col min="1" max="1" width="9.08984375" bestFit="1" customWidth="1"/>
    <col min="2" max="2" width="14.453125" bestFit="1" customWidth="1"/>
    <col min="4" max="4" width="12.453125" bestFit="1" customWidth="1"/>
    <col min="5" max="5" width="19.36328125" bestFit="1" customWidth="1"/>
  </cols>
  <sheetData>
    <row r="1" spans="1:5" s="4" customFormat="1" x14ac:dyDescent="0.35">
      <c r="A1" s="4" t="s">
        <v>9</v>
      </c>
      <c r="B1" s="4" t="s">
        <v>10</v>
      </c>
    </row>
    <row r="2" spans="1:5" x14ac:dyDescent="0.35">
      <c r="A2" s="1">
        <v>44562</v>
      </c>
      <c r="B2">
        <v>88593.78</v>
      </c>
    </row>
    <row r="3" spans="1:5" x14ac:dyDescent="0.35">
      <c r="A3" s="1">
        <v>44593</v>
      </c>
      <c r="B3">
        <v>85826.95</v>
      </c>
      <c r="D3" s="4" t="s">
        <v>8</v>
      </c>
      <c r="E3" s="4" t="s">
        <v>11</v>
      </c>
    </row>
    <row r="4" spans="1:5" x14ac:dyDescent="0.35">
      <c r="A4" s="1">
        <v>44621</v>
      </c>
      <c r="B4">
        <v>91138.97</v>
      </c>
      <c r="D4" s="2" t="s">
        <v>3</v>
      </c>
      <c r="E4" s="6">
        <v>1086634.6000000001</v>
      </c>
    </row>
    <row r="5" spans="1:5" x14ac:dyDescent="0.35">
      <c r="A5" s="1">
        <v>44652</v>
      </c>
      <c r="B5">
        <v>88467.14</v>
      </c>
      <c r="D5" s="2" t="s">
        <v>4</v>
      </c>
      <c r="E5" s="6">
        <v>1597181.48</v>
      </c>
    </row>
    <row r="6" spans="1:5" x14ac:dyDescent="0.35">
      <c r="A6" s="1">
        <v>44682</v>
      </c>
      <c r="B6">
        <v>89758.7</v>
      </c>
      <c r="D6" s="2" t="s">
        <v>5</v>
      </c>
      <c r="E6" s="6">
        <v>1602617.98</v>
      </c>
    </row>
    <row r="7" spans="1:5" x14ac:dyDescent="0.35">
      <c r="A7" s="1">
        <v>44713</v>
      </c>
      <c r="B7">
        <v>92558.71</v>
      </c>
      <c r="D7" s="2" t="s">
        <v>6</v>
      </c>
      <c r="E7" s="6">
        <v>2436605.4700000002</v>
      </c>
    </row>
    <row r="8" spans="1:5" x14ac:dyDescent="0.35">
      <c r="A8" s="1">
        <v>44743</v>
      </c>
      <c r="B8">
        <v>86907.01</v>
      </c>
      <c r="D8" s="5" t="s">
        <v>2</v>
      </c>
      <c r="E8" s="7">
        <v>6723039.5300000003</v>
      </c>
    </row>
    <row r="9" spans="1:5" x14ac:dyDescent="0.35">
      <c r="A9" s="1">
        <v>44774</v>
      </c>
      <c r="B9">
        <v>97934.52</v>
      </c>
    </row>
    <row r="10" spans="1:5" x14ac:dyDescent="0.35">
      <c r="A10" s="1">
        <v>44805</v>
      </c>
      <c r="B10">
        <v>90865.27</v>
      </c>
    </row>
    <row r="11" spans="1:5" x14ac:dyDescent="0.35">
      <c r="A11" s="1">
        <v>44835</v>
      </c>
      <c r="B11">
        <v>100543.35</v>
      </c>
    </row>
    <row r="12" spans="1:5" x14ac:dyDescent="0.35">
      <c r="A12" s="1">
        <v>44866</v>
      </c>
      <c r="B12">
        <v>84353.1</v>
      </c>
    </row>
    <row r="13" spans="1:5" x14ac:dyDescent="0.35">
      <c r="A13" s="1">
        <v>44896</v>
      </c>
      <c r="B13">
        <v>89687.1</v>
      </c>
    </row>
    <row r="14" spans="1:5" x14ac:dyDescent="0.35">
      <c r="A14" s="1">
        <v>44927</v>
      </c>
      <c r="B14">
        <v>123561.46</v>
      </c>
    </row>
    <row r="15" spans="1:5" x14ac:dyDescent="0.35">
      <c r="A15" s="1">
        <v>44958</v>
      </c>
      <c r="B15">
        <v>140342.01999999999</v>
      </c>
    </row>
    <row r="16" spans="1:5" x14ac:dyDescent="0.35">
      <c r="A16" s="1">
        <v>44986</v>
      </c>
      <c r="B16">
        <v>130792.7</v>
      </c>
    </row>
    <row r="17" spans="1:2" x14ac:dyDescent="0.35">
      <c r="A17" s="1">
        <v>45017</v>
      </c>
      <c r="B17">
        <v>142921.19</v>
      </c>
    </row>
    <row r="18" spans="1:2" x14ac:dyDescent="0.35">
      <c r="A18" s="1">
        <v>45047</v>
      </c>
      <c r="B18">
        <v>140586.51</v>
      </c>
    </row>
    <row r="19" spans="1:2" x14ac:dyDescent="0.35">
      <c r="A19" s="1">
        <v>45078</v>
      </c>
      <c r="B19">
        <v>123219.97</v>
      </c>
    </row>
    <row r="20" spans="1:2" x14ac:dyDescent="0.35">
      <c r="A20" s="1">
        <v>45108</v>
      </c>
      <c r="B20">
        <v>140411.49</v>
      </c>
    </row>
    <row r="21" spans="1:2" x14ac:dyDescent="0.35">
      <c r="A21" s="1">
        <v>45139</v>
      </c>
      <c r="B21">
        <v>137867.56</v>
      </c>
    </row>
    <row r="22" spans="1:2" x14ac:dyDescent="0.35">
      <c r="A22" s="1">
        <v>45170</v>
      </c>
      <c r="B22">
        <v>138372.67000000001</v>
      </c>
    </row>
    <row r="23" spans="1:2" x14ac:dyDescent="0.35">
      <c r="A23" s="1">
        <v>45200</v>
      </c>
      <c r="B23">
        <v>130443.37</v>
      </c>
    </row>
    <row r="24" spans="1:2" x14ac:dyDescent="0.35">
      <c r="A24" s="1">
        <v>45231</v>
      </c>
      <c r="B24">
        <v>122311.06</v>
      </c>
    </row>
    <row r="25" spans="1:2" x14ac:dyDescent="0.35">
      <c r="A25" s="1">
        <v>45261</v>
      </c>
      <c r="B25">
        <v>126351.48</v>
      </c>
    </row>
    <row r="26" spans="1:2" x14ac:dyDescent="0.35">
      <c r="A26" s="1">
        <v>45292</v>
      </c>
      <c r="B26">
        <v>152281.19</v>
      </c>
    </row>
    <row r="27" spans="1:2" x14ac:dyDescent="0.35">
      <c r="A27" s="1">
        <v>45323</v>
      </c>
      <c r="B27">
        <v>124290.03</v>
      </c>
    </row>
    <row r="28" spans="1:2" x14ac:dyDescent="0.35">
      <c r="A28" s="1">
        <v>45352</v>
      </c>
      <c r="B28">
        <v>145484.18</v>
      </c>
    </row>
    <row r="29" spans="1:2" x14ac:dyDescent="0.35">
      <c r="A29" s="1">
        <v>45383</v>
      </c>
      <c r="B29">
        <v>138023.51999999999</v>
      </c>
    </row>
    <row r="30" spans="1:2" x14ac:dyDescent="0.35">
      <c r="A30" s="1">
        <v>45413</v>
      </c>
      <c r="B30">
        <v>128532.8</v>
      </c>
    </row>
    <row r="31" spans="1:2" x14ac:dyDescent="0.35">
      <c r="A31" s="1">
        <v>45444</v>
      </c>
      <c r="B31">
        <v>135098.66</v>
      </c>
    </row>
    <row r="32" spans="1:2" x14ac:dyDescent="0.35">
      <c r="A32" s="1">
        <v>45474</v>
      </c>
      <c r="B32">
        <v>137867.56</v>
      </c>
    </row>
    <row r="33" spans="1:2" x14ac:dyDescent="0.35">
      <c r="A33" s="1">
        <v>45505</v>
      </c>
      <c r="B33">
        <v>140822.57</v>
      </c>
    </row>
    <row r="34" spans="1:2" x14ac:dyDescent="0.35">
      <c r="A34" s="1">
        <v>45536</v>
      </c>
      <c r="B34">
        <v>127993.47</v>
      </c>
    </row>
    <row r="35" spans="1:2" x14ac:dyDescent="0.35">
      <c r="A35" s="1">
        <v>45566</v>
      </c>
      <c r="B35">
        <v>123604.78</v>
      </c>
    </row>
    <row r="36" spans="1:2" x14ac:dyDescent="0.35">
      <c r="A36" s="1">
        <v>45597</v>
      </c>
      <c r="B36">
        <v>125057.76</v>
      </c>
    </row>
    <row r="37" spans="1:2" x14ac:dyDescent="0.35">
      <c r="A37" s="1">
        <v>45627</v>
      </c>
      <c r="B37">
        <v>123561.46</v>
      </c>
    </row>
    <row r="38" spans="1:2" x14ac:dyDescent="0.35">
      <c r="A38" s="1">
        <v>45658</v>
      </c>
      <c r="B38">
        <v>203795.78</v>
      </c>
    </row>
    <row r="39" spans="1:2" x14ac:dyDescent="0.35">
      <c r="A39" s="1">
        <v>45689</v>
      </c>
      <c r="B39">
        <v>160122.57999999999</v>
      </c>
    </row>
    <row r="40" spans="1:2" x14ac:dyDescent="0.35">
      <c r="A40" s="1">
        <v>45717</v>
      </c>
      <c r="B40">
        <v>188677.11</v>
      </c>
    </row>
    <row r="41" spans="1:2" x14ac:dyDescent="0.35">
      <c r="A41" s="1">
        <v>45748</v>
      </c>
      <c r="B41">
        <v>175940.74</v>
      </c>
    </row>
    <row r="42" spans="1:2" x14ac:dyDescent="0.35">
      <c r="A42" s="1">
        <v>45778</v>
      </c>
      <c r="B42">
        <v>186348.22</v>
      </c>
    </row>
    <row r="43" spans="1:2" x14ac:dyDescent="0.35">
      <c r="A43" s="1">
        <v>45809</v>
      </c>
      <c r="B43">
        <v>195863.7</v>
      </c>
    </row>
    <row r="44" spans="1:2" x14ac:dyDescent="0.35">
      <c r="A44" s="1">
        <v>45839</v>
      </c>
      <c r="B44">
        <v>215566.26</v>
      </c>
    </row>
    <row r="45" spans="1:2" x14ac:dyDescent="0.35">
      <c r="A45" s="1">
        <v>45870</v>
      </c>
      <c r="B45">
        <v>210825.11</v>
      </c>
    </row>
    <row r="46" spans="1:2" x14ac:dyDescent="0.35">
      <c r="A46" s="1">
        <v>45901</v>
      </c>
      <c r="B46">
        <v>190629.14</v>
      </c>
    </row>
    <row r="47" spans="1:2" x14ac:dyDescent="0.35">
      <c r="A47" s="1">
        <v>45931</v>
      </c>
      <c r="B47">
        <v>301070.13</v>
      </c>
    </row>
    <row r="48" spans="1:2" x14ac:dyDescent="0.35">
      <c r="A48" s="1">
        <v>45962</v>
      </c>
      <c r="B48">
        <v>186703.13</v>
      </c>
    </row>
    <row r="49" spans="1:2" x14ac:dyDescent="0.35">
      <c r="A49" s="1">
        <v>45992</v>
      </c>
      <c r="B49">
        <v>221063.57</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F5A047-EC56-4255-A418-CBF0CC68323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Connecticut</vt:lpstr>
      <vt:lpstr>New_York</vt:lpstr>
      <vt:lpstr>Combined East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Chantal Lee</cp:lastModifiedBy>
  <dcterms:created xsi:type="dcterms:W3CDTF">2026-04-30T07:57:05Z</dcterms:created>
  <dcterms:modified xsi:type="dcterms:W3CDTF">2026-04-30T09:33:46Z</dcterms:modified>
</cp:coreProperties>
</file>